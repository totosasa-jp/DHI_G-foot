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iwat\Box\2026_WindowsServer2016対応\DrSum ETL JP1（ＤＨＩ大阪）_WindowsServer2016対応\2_JP1\21_ドキュメント\"/>
    </mc:Choice>
  </mc:AlternateContent>
  <xr:revisionPtr revIDLastSave="0" documentId="13_ncr:1_{DF68125E-CF27-4AD0-A9EA-715BCE78C3A3}" xr6:coauthVersionLast="47" xr6:coauthVersionMax="47" xr10:uidLastSave="{00000000-0000-0000-0000-000000000000}"/>
  <bookViews>
    <workbookView xWindow="28690" yWindow="-110" windowWidth="29020" windowHeight="15700" tabRatio="870" xr2:uid="{FD85AC30-AFF2-46CA-BDC8-E7C080B489D8}"/>
  </bookViews>
  <sheets>
    <sheet name="切替方針" sheetId="6" r:id="rId1"/>
    <sheet name="動作確認の観点と切り戻し" sheetId="5" r:id="rId2"/>
    <sheet name="ジョブ一覧(概要)" sheetId="4" r:id="rId3"/>
    <sheet name="ジョブ一覧(詳細)" sheetId="1" r:id="rId4"/>
    <sheet name="(参考)イベントの繋がり" sheetId="7" r:id="rId5"/>
    <sheet name="(参考)イベント受信待ち" sheetId="2" r:id="rId6"/>
    <sheet name="(参考)イベント送信待ち" sheetId="3" r:id="rId7"/>
  </sheets>
  <definedNames>
    <definedName name="_xlnm._FilterDatabase" localSheetId="6" hidden="1">'(参考)イベント送信待ち'!$H$2:$K$48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8" i="4" l="1"/>
  <c r="Q7" i="4"/>
  <c r="Q6" i="4"/>
  <c r="Q5" i="4"/>
  <c r="Q4" i="4"/>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3" i="4"/>
  <c r="B22" i="4"/>
  <c r="B21" i="4"/>
  <c r="B20" i="4"/>
  <c r="B19" i="4"/>
  <c r="B18" i="4"/>
  <c r="B17" i="4"/>
  <c r="B16" i="4"/>
  <c r="B15" i="4"/>
  <c r="B14" i="4"/>
  <c r="B13" i="4"/>
  <c r="B12" i="4"/>
  <c r="B11" i="4"/>
  <c r="B10" i="4"/>
  <c r="B9" i="4"/>
  <c r="B8" i="4"/>
  <c r="B7" i="4"/>
  <c r="B6" i="4"/>
  <c r="B5" i="4"/>
  <c r="B4" i="4"/>
  <c r="B3" i="4"/>
  <c r="S48" i="3" a="1"/>
  <c r="S48" i="3" s="1"/>
  <c r="R48" i="3" a="1"/>
  <c r="R48" i="3" s="1"/>
  <c r="Q48" i="3"/>
  <c r="Q48" i="3" a="1"/>
  <c r="S47" i="3" a="1"/>
  <c r="S47" i="3" s="1"/>
  <c r="R47" i="3" a="1"/>
  <c r="R47" i="3" s="1"/>
  <c r="Q47" i="3" a="1"/>
  <c r="Q47" i="3" s="1"/>
  <c r="S46" i="3" a="1"/>
  <c r="S46" i="3" s="1"/>
  <c r="R46" i="3" a="1"/>
  <c r="R46" i="3" s="1"/>
  <c r="Q46" i="3" a="1"/>
  <c r="Q46" i="3" s="1"/>
  <c r="S45" i="3" a="1"/>
  <c r="S45" i="3" s="1"/>
  <c r="R45" i="3"/>
  <c r="R45" i="3" a="1"/>
  <c r="Q45" i="3" a="1"/>
  <c r="Q45" i="3" s="1"/>
  <c r="S44" i="3" a="1"/>
  <c r="S44" i="3" s="1"/>
  <c r="R44" i="3" a="1"/>
  <c r="R44" i="3" s="1"/>
  <c r="Q44" i="3" a="1"/>
  <c r="Q44" i="3" s="1"/>
  <c r="S43" i="3" a="1"/>
  <c r="S43" i="3" s="1"/>
  <c r="R43" i="3" a="1"/>
  <c r="R43" i="3" s="1"/>
  <c r="Q43" i="3" a="1"/>
  <c r="Q43" i="3" s="1"/>
  <c r="S42" i="3"/>
  <c r="S42" i="3" a="1"/>
  <c r="R42" i="3" a="1"/>
  <c r="R42" i="3" s="1"/>
  <c r="Q42" i="3" a="1"/>
  <c r="Q42" i="3" s="1"/>
  <c r="S41" i="3" a="1"/>
  <c r="S41" i="3" s="1"/>
  <c r="R41" i="3" a="1"/>
  <c r="R41" i="3" s="1"/>
  <c r="Q41" i="3" a="1"/>
  <c r="Q41" i="3" s="1"/>
  <c r="S40" i="3" a="1"/>
  <c r="S40" i="3" s="1"/>
  <c r="R40" i="3" a="1"/>
  <c r="R40" i="3" s="1"/>
  <c r="Q40" i="3"/>
  <c r="Q40" i="3" a="1"/>
  <c r="S39" i="3" a="1"/>
  <c r="S39" i="3" s="1"/>
  <c r="R39" i="3" a="1"/>
  <c r="R39" i="3" s="1"/>
  <c r="Q39" i="3" a="1"/>
  <c r="Q39" i="3" s="1"/>
  <c r="S38" i="3" a="1"/>
  <c r="S38" i="3" s="1"/>
  <c r="R38" i="3" a="1"/>
  <c r="R38" i="3" s="1"/>
  <c r="Q38" i="3" a="1"/>
  <c r="Q38" i="3" s="1"/>
  <c r="S37" i="3" a="1"/>
  <c r="S37" i="3" s="1"/>
  <c r="R37" i="3"/>
  <c r="R37" i="3" a="1"/>
  <c r="Q37" i="3" a="1"/>
  <c r="Q37" i="3" s="1"/>
  <c r="S36" i="3" a="1"/>
  <c r="S36" i="3" s="1"/>
  <c r="R36" i="3" a="1"/>
  <c r="R36" i="3" s="1"/>
  <c r="Q36" i="3" a="1"/>
  <c r="Q36" i="3" s="1"/>
  <c r="S35" i="3" a="1"/>
  <c r="S35" i="3" s="1"/>
  <c r="R35" i="3" a="1"/>
  <c r="R35" i="3" s="1"/>
  <c r="Q35" i="3" a="1"/>
  <c r="Q35" i="3" s="1"/>
  <c r="S34" i="3"/>
  <c r="S34" i="3" a="1"/>
  <c r="R34" i="3" a="1"/>
  <c r="R34" i="3" s="1"/>
  <c r="Q34" i="3" a="1"/>
  <c r="Q34" i="3" s="1"/>
  <c r="S33" i="3" a="1"/>
  <c r="S33" i="3" s="1"/>
  <c r="R33" i="3" a="1"/>
  <c r="R33" i="3" s="1"/>
  <c r="Q33" i="3" a="1"/>
  <c r="Q33" i="3" s="1"/>
  <c r="S32" i="3" a="1"/>
  <c r="S32" i="3" s="1"/>
  <c r="R32" i="3" a="1"/>
  <c r="R32" i="3" s="1"/>
  <c r="Q32" i="3"/>
  <c r="Q32" i="3" a="1"/>
  <c r="S31" i="3" a="1"/>
  <c r="S31" i="3" s="1"/>
  <c r="R31" i="3" a="1"/>
  <c r="R31" i="3" s="1"/>
  <c r="Q31" i="3" a="1"/>
  <c r="Q31" i="3" s="1"/>
  <c r="S30" i="3" a="1"/>
  <c r="S30" i="3" s="1"/>
  <c r="R30" i="3" a="1"/>
  <c r="R30" i="3" s="1"/>
  <c r="Q30" i="3" a="1"/>
  <c r="Q30" i="3" s="1"/>
  <c r="S29" i="3" a="1"/>
  <c r="S29" i="3" s="1"/>
  <c r="R29" i="3"/>
  <c r="R29" i="3" a="1"/>
  <c r="Q29" i="3" a="1"/>
  <c r="Q29" i="3" s="1"/>
  <c r="S28" i="3" a="1"/>
  <c r="S28" i="3" s="1"/>
  <c r="R28" i="3" a="1"/>
  <c r="R28" i="3" s="1"/>
  <c r="Q28" i="3" a="1"/>
  <c r="Q28" i="3" s="1"/>
  <c r="S27" i="3" a="1"/>
  <c r="S27" i="3" s="1"/>
  <c r="R27" i="3" a="1"/>
  <c r="R27" i="3" s="1"/>
  <c r="Q27" i="3" a="1"/>
  <c r="Q27" i="3" s="1"/>
  <c r="S26" i="3" a="1"/>
  <c r="S26" i="3" s="1"/>
  <c r="R26" i="3" a="1"/>
  <c r="R26" i="3" s="1"/>
  <c r="Q26" i="3" a="1"/>
  <c r="Q26" i="3" s="1"/>
  <c r="S25" i="3" a="1"/>
  <c r="S25" i="3" s="1"/>
  <c r="R25" i="3" a="1"/>
  <c r="R25" i="3" s="1"/>
  <c r="Q25" i="3" a="1"/>
  <c r="Q25" i="3" s="1"/>
  <c r="S24" i="3" a="1"/>
  <c r="S24" i="3" s="1"/>
  <c r="R24" i="3" a="1"/>
  <c r="R24" i="3" s="1"/>
  <c r="Q24" i="3" a="1"/>
  <c r="Q24" i="3" s="1"/>
  <c r="S23" i="3" a="1"/>
  <c r="S23" i="3" s="1"/>
  <c r="R23" i="3" a="1"/>
  <c r="R23" i="3" s="1"/>
  <c r="Q23" i="3" a="1"/>
  <c r="Q23" i="3" s="1"/>
  <c r="S22" i="3" a="1"/>
  <c r="S22" i="3" s="1"/>
  <c r="R22" i="3" a="1"/>
  <c r="R22" i="3" s="1"/>
  <c r="Q22" i="3" a="1"/>
  <c r="Q22" i="3" s="1"/>
  <c r="S21" i="3" a="1"/>
  <c r="S21" i="3" s="1"/>
  <c r="R21" i="3" a="1"/>
  <c r="R21" i="3" s="1"/>
  <c r="Q21" i="3" a="1"/>
  <c r="Q21" i="3" s="1"/>
  <c r="S20" i="3" a="1"/>
  <c r="S20" i="3" s="1"/>
  <c r="R20" i="3" a="1"/>
  <c r="R20" i="3" s="1"/>
  <c r="Q20" i="3" a="1"/>
  <c r="Q20" i="3" s="1"/>
  <c r="S19" i="3" a="1"/>
  <c r="S19" i="3" s="1"/>
  <c r="R19" i="3" a="1"/>
  <c r="R19" i="3" s="1"/>
  <c r="Q19" i="3" a="1"/>
  <c r="Q19" i="3" s="1"/>
  <c r="S18" i="3" a="1"/>
  <c r="S18" i="3" s="1"/>
  <c r="R18" i="3" a="1"/>
  <c r="R18" i="3" s="1"/>
  <c r="Q18" i="3" a="1"/>
  <c r="Q18" i="3" s="1"/>
  <c r="S17" i="3" a="1"/>
  <c r="S17" i="3" s="1"/>
  <c r="R17" i="3" a="1"/>
  <c r="R17" i="3" s="1"/>
  <c r="Q17" i="3" a="1"/>
  <c r="Q17" i="3" s="1"/>
  <c r="S16" i="3" a="1"/>
  <c r="S16" i="3" s="1"/>
  <c r="R16" i="3" a="1"/>
  <c r="R16" i="3" s="1"/>
  <c r="Q16" i="3" a="1"/>
  <c r="Q16" i="3" s="1"/>
  <c r="S15" i="3" a="1"/>
  <c r="S15" i="3" s="1"/>
  <c r="R15" i="3" a="1"/>
  <c r="R15" i="3" s="1"/>
  <c r="Q15" i="3" a="1"/>
  <c r="Q15" i="3" s="1"/>
  <c r="S14" i="3" a="1"/>
  <c r="S14" i="3" s="1"/>
  <c r="R14" i="3" a="1"/>
  <c r="R14" i="3" s="1"/>
  <c r="Q14" i="3" a="1"/>
  <c r="Q14" i="3" s="1"/>
  <c r="S13" i="3" a="1"/>
  <c r="S13" i="3" s="1"/>
  <c r="R13" i="3" a="1"/>
  <c r="R13" i="3" s="1"/>
  <c r="Q13" i="3" a="1"/>
  <c r="Q13" i="3" s="1"/>
  <c r="S12" i="3" a="1"/>
  <c r="S12" i="3" s="1"/>
  <c r="R12" i="3" a="1"/>
  <c r="R12" i="3" s="1"/>
  <c r="Q12" i="3" a="1"/>
  <c r="Q12" i="3" s="1"/>
  <c r="S11" i="3" a="1"/>
  <c r="S11" i="3" s="1"/>
  <c r="R11" i="3" a="1"/>
  <c r="R11" i="3" s="1"/>
  <c r="Q11" i="3" a="1"/>
  <c r="Q11" i="3" s="1"/>
  <c r="S10" i="3" a="1"/>
  <c r="S10" i="3" s="1"/>
  <c r="R10" i="3" a="1"/>
  <c r="R10" i="3" s="1"/>
  <c r="Q10" i="3" a="1"/>
  <c r="Q10" i="3" s="1"/>
  <c r="S9" i="3" a="1"/>
  <c r="S9" i="3" s="1"/>
  <c r="R9" i="3" a="1"/>
  <c r="R9" i="3" s="1"/>
  <c r="Q9" i="3" a="1"/>
  <c r="Q9" i="3" s="1"/>
  <c r="S8" i="3" a="1"/>
  <c r="S8" i="3" s="1"/>
  <c r="R8" i="3" a="1"/>
  <c r="R8" i="3" s="1"/>
  <c r="Q8" i="3" a="1"/>
  <c r="Q8" i="3" s="1"/>
  <c r="S7" i="3" a="1"/>
  <c r="S7" i="3" s="1"/>
  <c r="R7" i="3" a="1"/>
  <c r="R7" i="3" s="1"/>
  <c r="Q7" i="3" a="1"/>
  <c r="Q7" i="3" s="1"/>
  <c r="S6" i="3" a="1"/>
  <c r="S6" i="3" s="1"/>
  <c r="R6" i="3" a="1"/>
  <c r="R6" i="3" s="1"/>
  <c r="Q6" i="3" a="1"/>
  <c r="Q6" i="3" s="1"/>
  <c r="S5" i="3" a="1"/>
  <c r="S5" i="3" s="1"/>
  <c r="R5" i="3" a="1"/>
  <c r="R5" i="3" s="1"/>
  <c r="Q5" i="3" a="1"/>
  <c r="Q5" i="3" s="1"/>
  <c r="S4" i="3" a="1"/>
  <c r="S4" i="3" s="1"/>
  <c r="R4" i="3" a="1"/>
  <c r="R4" i="3" s="1"/>
  <c r="Q4" i="3" a="1"/>
  <c r="Q4" i="3" s="1"/>
  <c r="S3" i="3" a="1"/>
  <c r="S3" i="3"/>
  <c r="R3" i="3" a="1"/>
  <c r="R3" i="3"/>
  <c r="Q3" i="3" a="1"/>
  <c r="Q3" i="3"/>
  <c r="J48" i="3"/>
  <c r="I48" i="3"/>
  <c r="H48" i="3"/>
  <c r="J47" i="3"/>
  <c r="I47" i="3"/>
  <c r="H47" i="3"/>
  <c r="J46" i="3"/>
  <c r="I46" i="3"/>
  <c r="H46" i="3"/>
  <c r="J45" i="3"/>
  <c r="I45" i="3"/>
  <c r="H45" i="3"/>
  <c r="J44" i="3"/>
  <c r="I44" i="3"/>
  <c r="H44" i="3"/>
  <c r="J43" i="3"/>
  <c r="I43" i="3"/>
  <c r="H43" i="3"/>
  <c r="J42" i="3"/>
  <c r="I42" i="3"/>
  <c r="H42" i="3"/>
  <c r="J41" i="3"/>
  <c r="I41" i="3"/>
  <c r="H41" i="3"/>
  <c r="J40" i="3"/>
  <c r="I40" i="3"/>
  <c r="H40" i="3"/>
  <c r="J39" i="3"/>
  <c r="I39" i="3"/>
  <c r="H39" i="3"/>
  <c r="J38" i="3"/>
  <c r="I38" i="3"/>
  <c r="H38" i="3"/>
  <c r="J37" i="3"/>
  <c r="I37" i="3"/>
  <c r="H37" i="3"/>
  <c r="J36" i="3"/>
  <c r="I36" i="3"/>
  <c r="H36" i="3"/>
  <c r="J35" i="3"/>
  <c r="I35" i="3"/>
  <c r="H35" i="3"/>
  <c r="J34" i="3"/>
  <c r="I34" i="3"/>
  <c r="H34" i="3"/>
  <c r="J33" i="3"/>
  <c r="I33" i="3"/>
  <c r="H33" i="3"/>
  <c r="J32" i="3"/>
  <c r="I32" i="3"/>
  <c r="H32" i="3"/>
  <c r="J31" i="3"/>
  <c r="I31" i="3"/>
  <c r="H31" i="3"/>
  <c r="J30" i="3"/>
  <c r="I30" i="3"/>
  <c r="H30" i="3"/>
  <c r="J29" i="3"/>
  <c r="I29" i="3"/>
  <c r="H29" i="3"/>
  <c r="J28" i="3"/>
  <c r="I28" i="3"/>
  <c r="H28" i="3"/>
  <c r="J27" i="3"/>
  <c r="I27" i="3"/>
  <c r="H27" i="3"/>
  <c r="J26" i="3"/>
  <c r="I26" i="3"/>
  <c r="H26" i="3"/>
  <c r="J25" i="3"/>
  <c r="I25" i="3"/>
  <c r="H25" i="3"/>
  <c r="J24" i="3"/>
  <c r="I24" i="3"/>
  <c r="H24" i="3"/>
  <c r="J23" i="3"/>
  <c r="I23" i="3"/>
  <c r="H23" i="3"/>
  <c r="J22" i="3"/>
  <c r="I22" i="3"/>
  <c r="H22" i="3"/>
  <c r="J21" i="3"/>
  <c r="I21" i="3"/>
  <c r="H21" i="3"/>
  <c r="J20" i="3"/>
  <c r="I20" i="3"/>
  <c r="H20" i="3"/>
  <c r="J19" i="3"/>
  <c r="I19" i="3"/>
  <c r="H19" i="3"/>
  <c r="J18" i="3"/>
  <c r="I18" i="3"/>
  <c r="H18" i="3"/>
  <c r="J17" i="3"/>
  <c r="I17" i="3"/>
  <c r="H17" i="3"/>
  <c r="J16" i="3"/>
  <c r="I16" i="3"/>
  <c r="H16" i="3"/>
  <c r="J15" i="3"/>
  <c r="I15" i="3"/>
  <c r="H15" i="3"/>
  <c r="J14" i="3"/>
  <c r="I14" i="3"/>
  <c r="H14" i="3"/>
  <c r="J13" i="3"/>
  <c r="I13" i="3"/>
  <c r="H13" i="3"/>
  <c r="J12" i="3"/>
  <c r="I12" i="3"/>
  <c r="H12" i="3"/>
  <c r="J11" i="3"/>
  <c r="I11" i="3"/>
  <c r="H11" i="3"/>
  <c r="J10" i="3"/>
  <c r="I10" i="3"/>
  <c r="H10" i="3"/>
  <c r="J9" i="3"/>
  <c r="I9" i="3"/>
  <c r="H9" i="3"/>
  <c r="J8" i="3"/>
  <c r="I8" i="3"/>
  <c r="H8" i="3"/>
  <c r="J7" i="3"/>
  <c r="I7" i="3"/>
  <c r="H7" i="3"/>
  <c r="J6" i="3"/>
  <c r="I6" i="3"/>
  <c r="H6" i="3"/>
  <c r="J5" i="3"/>
  <c r="I5" i="3"/>
  <c r="H5" i="3"/>
  <c r="J4" i="3"/>
  <c r="I4" i="3"/>
  <c r="H4" i="3"/>
  <c r="J3" i="3"/>
  <c r="I3" i="3"/>
  <c r="H3" i="3"/>
  <c r="O48" i="3" a="1"/>
  <c r="O48" i="3" s="1"/>
  <c r="N48" i="3" a="1"/>
  <c r="N48" i="3" s="1"/>
  <c r="M48" i="3" a="1"/>
  <c r="M48" i="3" s="1"/>
  <c r="O47" i="3" a="1"/>
  <c r="O47" i="3" s="1"/>
  <c r="N47" i="3" a="1"/>
  <c r="N47" i="3" s="1"/>
  <c r="M47" i="3" a="1"/>
  <c r="M47" i="3" s="1"/>
  <c r="O46" i="3" a="1"/>
  <c r="O46" i="3" s="1"/>
  <c r="N46" i="3" a="1"/>
  <c r="N46" i="3" s="1"/>
  <c r="M46" i="3" a="1"/>
  <c r="M46" i="3" s="1"/>
  <c r="O45" i="3" a="1"/>
  <c r="O45" i="3" s="1"/>
  <c r="N45" i="3" a="1"/>
  <c r="N45" i="3" s="1"/>
  <c r="M45" i="3" a="1"/>
  <c r="M45" i="3" s="1"/>
  <c r="O44" i="3" a="1"/>
  <c r="O44" i="3" s="1"/>
  <c r="N44" i="3" a="1"/>
  <c r="N44" i="3" s="1"/>
  <c r="M44" i="3" a="1"/>
  <c r="M44" i="3" s="1"/>
  <c r="O43" i="3" a="1"/>
  <c r="O43" i="3" s="1"/>
  <c r="N43" i="3" a="1"/>
  <c r="N43" i="3" s="1"/>
  <c r="M43" i="3" a="1"/>
  <c r="M43" i="3" s="1"/>
  <c r="O42" i="3" a="1"/>
  <c r="O42" i="3" s="1"/>
  <c r="N42" i="3" a="1"/>
  <c r="N42" i="3" s="1"/>
  <c r="M42" i="3" a="1"/>
  <c r="M42" i="3" s="1"/>
  <c r="O41" i="3" a="1"/>
  <c r="O41" i="3" s="1"/>
  <c r="N41" i="3" a="1"/>
  <c r="N41" i="3" s="1"/>
  <c r="M41" i="3" a="1"/>
  <c r="M41" i="3" s="1"/>
  <c r="O40" i="3" a="1"/>
  <c r="O40" i="3" s="1"/>
  <c r="N40" i="3" a="1"/>
  <c r="N40" i="3" s="1"/>
  <c r="M40" i="3" a="1"/>
  <c r="M40" i="3" s="1"/>
  <c r="O39" i="3" a="1"/>
  <c r="O39" i="3" s="1"/>
  <c r="N39" i="3" a="1"/>
  <c r="N39" i="3" s="1"/>
  <c r="M39" i="3" a="1"/>
  <c r="M39" i="3" s="1"/>
  <c r="O38" i="3" a="1"/>
  <c r="O38" i="3" s="1"/>
  <c r="N38" i="3" a="1"/>
  <c r="N38" i="3" s="1"/>
  <c r="M38" i="3" a="1"/>
  <c r="M38" i="3" s="1"/>
  <c r="O37" i="3" a="1"/>
  <c r="O37" i="3" s="1"/>
  <c r="N37" i="3" a="1"/>
  <c r="N37" i="3" s="1"/>
  <c r="M37" i="3" a="1"/>
  <c r="M37" i="3" s="1"/>
  <c r="O36" i="3" a="1"/>
  <c r="O36" i="3" s="1"/>
  <c r="N36" i="3" a="1"/>
  <c r="N36" i="3" s="1"/>
  <c r="M36" i="3" a="1"/>
  <c r="M36" i="3" s="1"/>
  <c r="O35" i="3" a="1"/>
  <c r="O35" i="3" s="1"/>
  <c r="N35" i="3" a="1"/>
  <c r="N35" i="3" s="1"/>
  <c r="M35" i="3" a="1"/>
  <c r="M35" i="3" s="1"/>
  <c r="O34" i="3" a="1"/>
  <c r="O34" i="3" s="1"/>
  <c r="N34" i="3" a="1"/>
  <c r="N34" i="3" s="1"/>
  <c r="M34" i="3" a="1"/>
  <c r="M34" i="3" s="1"/>
  <c r="O33" i="3" a="1"/>
  <c r="O33" i="3" s="1"/>
  <c r="N33" i="3" a="1"/>
  <c r="N33" i="3" s="1"/>
  <c r="M33" i="3" a="1"/>
  <c r="M33" i="3" s="1"/>
  <c r="O32" i="3" a="1"/>
  <c r="O32" i="3" s="1"/>
  <c r="N32" i="3" a="1"/>
  <c r="N32" i="3" s="1"/>
  <c r="M32" i="3" a="1"/>
  <c r="M32" i="3" s="1"/>
  <c r="O31" i="3" a="1"/>
  <c r="O31" i="3" s="1"/>
  <c r="N31" i="3" a="1"/>
  <c r="N31" i="3" s="1"/>
  <c r="M31" i="3" a="1"/>
  <c r="M31" i="3" s="1"/>
  <c r="O30" i="3" a="1"/>
  <c r="O30" i="3" s="1"/>
  <c r="N30" i="3" a="1"/>
  <c r="N30" i="3" s="1"/>
  <c r="M30" i="3" a="1"/>
  <c r="M30" i="3" s="1"/>
  <c r="O29" i="3" a="1"/>
  <c r="O29" i="3" s="1"/>
  <c r="N29" i="3" a="1"/>
  <c r="N29" i="3" s="1"/>
  <c r="M29" i="3" a="1"/>
  <c r="M29" i="3" s="1"/>
  <c r="O28" i="3" a="1"/>
  <c r="O28" i="3" s="1"/>
  <c r="N28" i="3" a="1"/>
  <c r="N28" i="3" s="1"/>
  <c r="M28" i="3" a="1"/>
  <c r="M28" i="3" s="1"/>
  <c r="O27" i="3" a="1"/>
  <c r="O27" i="3" s="1"/>
  <c r="N27" i="3" a="1"/>
  <c r="N27" i="3" s="1"/>
  <c r="M27" i="3" a="1"/>
  <c r="M27" i="3" s="1"/>
  <c r="O26" i="3" a="1"/>
  <c r="O26" i="3" s="1"/>
  <c r="N26" i="3" a="1"/>
  <c r="N26" i="3" s="1"/>
  <c r="M26" i="3" a="1"/>
  <c r="M26" i="3" s="1"/>
  <c r="O25" i="3" a="1"/>
  <c r="O25" i="3" s="1"/>
  <c r="N25" i="3" a="1"/>
  <c r="N25" i="3" s="1"/>
  <c r="M25" i="3" a="1"/>
  <c r="M25" i="3" s="1"/>
  <c r="O24" i="3" a="1"/>
  <c r="O24" i="3" s="1"/>
  <c r="N24" i="3" a="1"/>
  <c r="N24" i="3" s="1"/>
  <c r="M24" i="3" a="1"/>
  <c r="M24" i="3" s="1"/>
  <c r="O23" i="3" a="1"/>
  <c r="O23" i="3" s="1"/>
  <c r="N23" i="3" a="1"/>
  <c r="N23" i="3" s="1"/>
  <c r="M23" i="3" a="1"/>
  <c r="M23" i="3" s="1"/>
  <c r="O22" i="3" a="1"/>
  <c r="O22" i="3" s="1"/>
  <c r="N22" i="3" a="1"/>
  <c r="N22" i="3" s="1"/>
  <c r="M22" i="3" a="1"/>
  <c r="M22" i="3" s="1"/>
  <c r="O21" i="3" a="1"/>
  <c r="O21" i="3" s="1"/>
  <c r="N21" i="3" a="1"/>
  <c r="N21" i="3" s="1"/>
  <c r="M21" i="3" a="1"/>
  <c r="M21" i="3" s="1"/>
  <c r="O20" i="3" a="1"/>
  <c r="O20" i="3" s="1"/>
  <c r="N20" i="3" a="1"/>
  <c r="N20" i="3" s="1"/>
  <c r="M20" i="3" a="1"/>
  <c r="M20" i="3" s="1"/>
  <c r="O19" i="3" a="1"/>
  <c r="O19" i="3" s="1"/>
  <c r="N19" i="3" a="1"/>
  <c r="N19" i="3" s="1"/>
  <c r="M19" i="3" a="1"/>
  <c r="M19" i="3" s="1"/>
  <c r="O18" i="3" a="1"/>
  <c r="O18" i="3" s="1"/>
  <c r="N18" i="3" a="1"/>
  <c r="N18" i="3" s="1"/>
  <c r="M18" i="3" a="1"/>
  <c r="M18" i="3" s="1"/>
  <c r="O17" i="3" a="1"/>
  <c r="O17" i="3" s="1"/>
  <c r="N17" i="3" a="1"/>
  <c r="N17" i="3" s="1"/>
  <c r="M17" i="3" a="1"/>
  <c r="M17" i="3" s="1"/>
  <c r="O16" i="3" a="1"/>
  <c r="O16" i="3" s="1"/>
  <c r="N16" i="3" a="1"/>
  <c r="N16" i="3" s="1"/>
  <c r="M16" i="3" a="1"/>
  <c r="M16" i="3" s="1"/>
  <c r="O15" i="3" a="1"/>
  <c r="O15" i="3" s="1"/>
  <c r="N15" i="3" a="1"/>
  <c r="N15" i="3" s="1"/>
  <c r="M15" i="3" a="1"/>
  <c r="M15" i="3" s="1"/>
  <c r="O14" i="3" a="1"/>
  <c r="O14" i="3" s="1"/>
  <c r="N14" i="3" a="1"/>
  <c r="N14" i="3" s="1"/>
  <c r="M14" i="3" a="1"/>
  <c r="M14" i="3" s="1"/>
  <c r="O13" i="3" a="1"/>
  <c r="O13" i="3" s="1"/>
  <c r="N13" i="3" a="1"/>
  <c r="N13" i="3" s="1"/>
  <c r="M13" i="3" a="1"/>
  <c r="M13" i="3" s="1"/>
  <c r="O12" i="3" a="1"/>
  <c r="O12" i="3" s="1"/>
  <c r="N12" i="3" a="1"/>
  <c r="N12" i="3" s="1"/>
  <c r="M12" i="3" a="1"/>
  <c r="M12" i="3" s="1"/>
  <c r="O11" i="3" a="1"/>
  <c r="O11" i="3" s="1"/>
  <c r="N11" i="3" a="1"/>
  <c r="N11" i="3" s="1"/>
  <c r="M11" i="3" a="1"/>
  <c r="M11" i="3" s="1"/>
  <c r="O10" i="3" a="1"/>
  <c r="O10" i="3" s="1"/>
  <c r="N10" i="3" a="1"/>
  <c r="N10" i="3" s="1"/>
  <c r="M10" i="3" a="1"/>
  <c r="M10" i="3" s="1"/>
  <c r="O9" i="3" a="1"/>
  <c r="O9" i="3" s="1"/>
  <c r="N9" i="3" a="1"/>
  <c r="N9" i="3" s="1"/>
  <c r="M9" i="3" a="1"/>
  <c r="M9" i="3" s="1"/>
  <c r="O8" i="3" a="1"/>
  <c r="O8" i="3" s="1"/>
  <c r="N8" i="3" a="1"/>
  <c r="N8" i="3" s="1"/>
  <c r="M8" i="3" a="1"/>
  <c r="M8" i="3" s="1"/>
  <c r="O7" i="3" a="1"/>
  <c r="O7" i="3" s="1"/>
  <c r="N7" i="3" a="1"/>
  <c r="N7" i="3" s="1"/>
  <c r="M7" i="3" a="1"/>
  <c r="M7" i="3" s="1"/>
  <c r="O6" i="3" a="1"/>
  <c r="O6" i="3" s="1"/>
  <c r="N6" i="3" a="1"/>
  <c r="N6" i="3" s="1"/>
  <c r="M6" i="3" a="1"/>
  <c r="M6" i="3" s="1"/>
  <c r="O5" i="3" a="1"/>
  <c r="O5" i="3" s="1"/>
  <c r="N5" i="3" a="1"/>
  <c r="N5" i="3" s="1"/>
  <c r="M5" i="3" a="1"/>
  <c r="M5" i="3" s="1"/>
  <c r="O4" i="3" a="1"/>
  <c r="O4" i="3" s="1"/>
  <c r="N4" i="3" a="1"/>
  <c r="N4" i="3" s="1"/>
  <c r="M4" i="3" a="1"/>
  <c r="M4" i="3" s="1"/>
  <c r="O3" i="3" a="1"/>
  <c r="O3" i="3" s="1"/>
  <c r="N3" i="3" a="1"/>
  <c r="N3" i="3" s="1"/>
  <c r="M3" i="3" a="1"/>
  <c r="M3" i="3" s="1"/>
  <c r="K74" i="2" a="1"/>
  <c r="K74" i="2" s="1"/>
  <c r="J74" i="2" a="1"/>
  <c r="J74" i="2" s="1"/>
  <c r="I74" i="2" a="1"/>
  <c r="I74" i="2" s="1"/>
  <c r="K73" i="2" a="1"/>
  <c r="K73" i="2" s="1"/>
  <c r="J73" i="2" a="1"/>
  <c r="J73" i="2" s="1"/>
  <c r="I73" i="2" a="1"/>
  <c r="I73" i="2" s="1"/>
  <c r="K72" i="2" a="1"/>
  <c r="K72" i="2" s="1"/>
  <c r="J72" i="2" a="1"/>
  <c r="J72" i="2" s="1"/>
  <c r="I72" i="2" a="1"/>
  <c r="I72" i="2" s="1"/>
  <c r="K71" i="2" a="1"/>
  <c r="K71" i="2" s="1"/>
  <c r="J71" i="2" a="1"/>
  <c r="J71" i="2" s="1"/>
  <c r="I71" i="2" a="1"/>
  <c r="I71" i="2" s="1"/>
  <c r="K70" i="2" a="1"/>
  <c r="K70" i="2" s="1"/>
  <c r="J70" i="2" a="1"/>
  <c r="J70" i="2" s="1"/>
  <c r="I70" i="2" a="1"/>
  <c r="I70" i="2" s="1"/>
  <c r="K69" i="2" a="1"/>
  <c r="K69" i="2" s="1"/>
  <c r="J69" i="2" a="1"/>
  <c r="J69" i="2" s="1"/>
  <c r="I69" i="2" a="1"/>
  <c r="I69" i="2" s="1"/>
  <c r="K68" i="2" a="1"/>
  <c r="K68" i="2" s="1"/>
  <c r="J68" i="2" a="1"/>
  <c r="J68" i="2" s="1"/>
  <c r="I68" i="2" a="1"/>
  <c r="I68" i="2" s="1"/>
  <c r="K67" i="2" a="1"/>
  <c r="K67" i="2" s="1"/>
  <c r="J67" i="2" a="1"/>
  <c r="J67" i="2" s="1"/>
  <c r="I67" i="2" a="1"/>
  <c r="I67" i="2" s="1"/>
  <c r="K66" i="2" a="1"/>
  <c r="K66" i="2" s="1"/>
  <c r="J66" i="2" a="1"/>
  <c r="J66" i="2" s="1"/>
  <c r="I66" i="2" a="1"/>
  <c r="I66" i="2" s="1"/>
  <c r="K65" i="2" a="1"/>
  <c r="K65" i="2" s="1"/>
  <c r="J65" i="2" a="1"/>
  <c r="J65" i="2" s="1"/>
  <c r="I65" i="2" a="1"/>
  <c r="I65" i="2" s="1"/>
  <c r="K64" i="2" a="1"/>
  <c r="K64" i="2" s="1"/>
  <c r="J64" i="2" a="1"/>
  <c r="J64" i="2" s="1"/>
  <c r="I64" i="2" a="1"/>
  <c r="I64" i="2" s="1"/>
  <c r="K63" i="2" a="1"/>
  <c r="K63" i="2" s="1"/>
  <c r="J63" i="2" a="1"/>
  <c r="J63" i="2" s="1"/>
  <c r="I63" i="2" a="1"/>
  <c r="I63" i="2" s="1"/>
  <c r="K62" i="2" a="1"/>
  <c r="K62" i="2" s="1"/>
  <c r="J62" i="2" a="1"/>
  <c r="J62" i="2" s="1"/>
  <c r="I62" i="2" a="1"/>
  <c r="I62" i="2" s="1"/>
  <c r="K61" i="2" a="1"/>
  <c r="K61" i="2" s="1"/>
  <c r="J61" i="2" a="1"/>
  <c r="J61" i="2" s="1"/>
  <c r="I61" i="2" a="1"/>
  <c r="I61" i="2" s="1"/>
  <c r="K60" i="2" a="1"/>
  <c r="K60" i="2" s="1"/>
  <c r="J60" i="2" a="1"/>
  <c r="J60" i="2" s="1"/>
  <c r="I60" i="2" a="1"/>
  <c r="I60" i="2" s="1"/>
  <c r="K59" i="2" a="1"/>
  <c r="K59" i="2" s="1"/>
  <c r="J59" i="2" a="1"/>
  <c r="J59" i="2" s="1"/>
  <c r="I59" i="2" a="1"/>
  <c r="I59" i="2" s="1"/>
  <c r="K58" i="2" a="1"/>
  <c r="K58" i="2" s="1"/>
  <c r="J58" i="2" a="1"/>
  <c r="J58" i="2" s="1"/>
  <c r="I58" i="2" a="1"/>
  <c r="I58" i="2" s="1"/>
  <c r="K57" i="2" a="1"/>
  <c r="K57" i="2" s="1"/>
  <c r="J57" i="2" a="1"/>
  <c r="J57" i="2" s="1"/>
  <c r="I57" i="2" a="1"/>
  <c r="I57" i="2" s="1"/>
  <c r="K56" i="2" a="1"/>
  <c r="K56" i="2" s="1"/>
  <c r="J56" i="2" a="1"/>
  <c r="J56" i="2" s="1"/>
  <c r="I56" i="2" a="1"/>
  <c r="I56" i="2" s="1"/>
  <c r="K55" i="2" a="1"/>
  <c r="K55" i="2" s="1"/>
  <c r="J55" i="2" a="1"/>
  <c r="J55" i="2" s="1"/>
  <c r="I55" i="2" a="1"/>
  <c r="I55" i="2" s="1"/>
  <c r="K54" i="2" a="1"/>
  <c r="K54" i="2" s="1"/>
  <c r="J54" i="2" a="1"/>
  <c r="J54" i="2" s="1"/>
  <c r="I54" i="2" a="1"/>
  <c r="I54" i="2" s="1"/>
  <c r="K53" i="2" a="1"/>
  <c r="K53" i="2" s="1"/>
  <c r="J53" i="2" a="1"/>
  <c r="J53" i="2" s="1"/>
  <c r="I53" i="2" a="1"/>
  <c r="I53" i="2" s="1"/>
  <c r="K52" i="2" a="1"/>
  <c r="K52" i="2" s="1"/>
  <c r="J52" i="2" a="1"/>
  <c r="J52" i="2" s="1"/>
  <c r="I52" i="2" a="1"/>
  <c r="I52" i="2" s="1"/>
  <c r="K51" i="2" a="1"/>
  <c r="K51" i="2" s="1"/>
  <c r="J51" i="2" a="1"/>
  <c r="J51" i="2" s="1"/>
  <c r="I51" i="2" a="1"/>
  <c r="I51" i="2" s="1"/>
  <c r="K50" i="2" a="1"/>
  <c r="K50" i="2" s="1"/>
  <c r="J50" i="2" a="1"/>
  <c r="J50" i="2" s="1"/>
  <c r="I50" i="2" a="1"/>
  <c r="I50" i="2" s="1"/>
  <c r="K49" i="2" a="1"/>
  <c r="K49" i="2" s="1"/>
  <c r="J49" i="2" a="1"/>
  <c r="J49" i="2" s="1"/>
  <c r="I49" i="2" a="1"/>
  <c r="I49" i="2" s="1"/>
  <c r="K48" i="2" a="1"/>
  <c r="K48" i="2" s="1"/>
  <c r="J48" i="2" a="1"/>
  <c r="J48" i="2" s="1"/>
  <c r="I48" i="2" a="1"/>
  <c r="I48" i="2" s="1"/>
  <c r="K47" i="2" a="1"/>
  <c r="K47" i="2" s="1"/>
  <c r="J47" i="2" a="1"/>
  <c r="J47" i="2" s="1"/>
  <c r="I47" i="2" a="1"/>
  <c r="I47" i="2" s="1"/>
  <c r="K46" i="2" a="1"/>
  <c r="K46" i="2" s="1"/>
  <c r="J46" i="2" a="1"/>
  <c r="J46" i="2" s="1"/>
  <c r="I46" i="2" a="1"/>
  <c r="I46" i="2" s="1"/>
  <c r="K45" i="2" a="1"/>
  <c r="K45" i="2" s="1"/>
  <c r="J45" i="2" a="1"/>
  <c r="J45" i="2" s="1"/>
  <c r="I45" i="2" a="1"/>
  <c r="I45" i="2" s="1"/>
  <c r="K44" i="2" a="1"/>
  <c r="K44" i="2" s="1"/>
  <c r="J44" i="2" a="1"/>
  <c r="J44" i="2" s="1"/>
  <c r="I44" i="2" a="1"/>
  <c r="I44" i="2" s="1"/>
  <c r="K43" i="2" a="1"/>
  <c r="K43" i="2" s="1"/>
  <c r="J43" i="2" a="1"/>
  <c r="J43" i="2" s="1"/>
  <c r="I43" i="2" a="1"/>
  <c r="I43" i="2" s="1"/>
  <c r="K42" i="2" a="1"/>
  <c r="K42" i="2" s="1"/>
  <c r="J42" i="2" a="1"/>
  <c r="J42" i="2" s="1"/>
  <c r="I42" i="2" a="1"/>
  <c r="I42" i="2" s="1"/>
  <c r="K41" i="2" a="1"/>
  <c r="K41" i="2" s="1"/>
  <c r="J41" i="2" a="1"/>
  <c r="J41" i="2" s="1"/>
  <c r="I41" i="2" a="1"/>
  <c r="I41" i="2" s="1"/>
  <c r="K40" i="2" a="1"/>
  <c r="K40" i="2" s="1"/>
  <c r="J40" i="2" a="1"/>
  <c r="J40" i="2" s="1"/>
  <c r="I40" i="2" a="1"/>
  <c r="I40" i="2" s="1"/>
  <c r="K39" i="2" a="1"/>
  <c r="K39" i="2" s="1"/>
  <c r="J39" i="2" a="1"/>
  <c r="J39" i="2" s="1"/>
  <c r="I39" i="2" a="1"/>
  <c r="I39" i="2" s="1"/>
  <c r="K38" i="2" a="1"/>
  <c r="K38" i="2" s="1"/>
  <c r="J38" i="2" a="1"/>
  <c r="J38" i="2" s="1"/>
  <c r="I38" i="2" a="1"/>
  <c r="I38" i="2" s="1"/>
  <c r="K37" i="2" a="1"/>
  <c r="K37" i="2" s="1"/>
  <c r="J37" i="2" a="1"/>
  <c r="J37" i="2" s="1"/>
  <c r="I37" i="2" a="1"/>
  <c r="I37" i="2" s="1"/>
  <c r="K36" i="2" a="1"/>
  <c r="K36" i="2" s="1"/>
  <c r="J36" i="2" a="1"/>
  <c r="J36" i="2" s="1"/>
  <c r="I36" i="2" a="1"/>
  <c r="I36" i="2" s="1"/>
  <c r="K35" i="2" a="1"/>
  <c r="K35" i="2" s="1"/>
  <c r="J35" i="2" a="1"/>
  <c r="J35" i="2" s="1"/>
  <c r="I35" i="2" a="1"/>
  <c r="I35" i="2" s="1"/>
  <c r="K34" i="2" a="1"/>
  <c r="K34" i="2" s="1"/>
  <c r="J34" i="2" a="1"/>
  <c r="J34" i="2" s="1"/>
  <c r="I34" i="2" a="1"/>
  <c r="I34" i="2" s="1"/>
  <c r="K33" i="2" a="1"/>
  <c r="K33" i="2" s="1"/>
  <c r="J33" i="2" a="1"/>
  <c r="J33" i="2" s="1"/>
  <c r="I33" i="2" a="1"/>
  <c r="I33" i="2" s="1"/>
  <c r="K32" i="2" a="1"/>
  <c r="K32" i="2" s="1"/>
  <c r="J32" i="2" a="1"/>
  <c r="J32" i="2" s="1"/>
  <c r="I32" i="2" a="1"/>
  <c r="I32" i="2" s="1"/>
  <c r="K31" i="2" a="1"/>
  <c r="K31" i="2" s="1"/>
  <c r="J31" i="2" a="1"/>
  <c r="J31" i="2" s="1"/>
  <c r="I31" i="2" a="1"/>
  <c r="I31" i="2" s="1"/>
  <c r="K30" i="2" a="1"/>
  <c r="K30" i="2" s="1"/>
  <c r="J30" i="2" a="1"/>
  <c r="J30" i="2" s="1"/>
  <c r="I30" i="2" a="1"/>
  <c r="I30" i="2" s="1"/>
  <c r="K29" i="2" a="1"/>
  <c r="K29" i="2" s="1"/>
  <c r="J29" i="2" a="1"/>
  <c r="J29" i="2" s="1"/>
  <c r="I29" i="2" a="1"/>
  <c r="I29" i="2" s="1"/>
  <c r="K28" i="2" a="1"/>
  <c r="K28" i="2" s="1"/>
  <c r="J28" i="2" a="1"/>
  <c r="J28" i="2" s="1"/>
  <c r="I28" i="2" a="1"/>
  <c r="I28" i="2" s="1"/>
  <c r="K27" i="2" a="1"/>
  <c r="K27" i="2" s="1"/>
  <c r="J27" i="2" a="1"/>
  <c r="J27" i="2" s="1"/>
  <c r="I27" i="2" a="1"/>
  <c r="I27" i="2" s="1"/>
  <c r="K26" i="2" a="1"/>
  <c r="K26" i="2" s="1"/>
  <c r="J26" i="2" a="1"/>
  <c r="J26" i="2" s="1"/>
  <c r="I26" i="2" a="1"/>
  <c r="I26" i="2" s="1"/>
  <c r="K25" i="2" a="1"/>
  <c r="K25" i="2" s="1"/>
  <c r="J25" i="2" a="1"/>
  <c r="J25" i="2" s="1"/>
  <c r="I25" i="2" a="1"/>
  <c r="I25" i="2" s="1"/>
  <c r="K24" i="2" a="1"/>
  <c r="K24" i="2" s="1"/>
  <c r="J24" i="2" a="1"/>
  <c r="J24" i="2" s="1"/>
  <c r="I24" i="2" a="1"/>
  <c r="I24" i="2" s="1"/>
  <c r="K23" i="2" a="1"/>
  <c r="K23" i="2" s="1"/>
  <c r="J23" i="2" a="1"/>
  <c r="J23" i="2" s="1"/>
  <c r="I23" i="2" a="1"/>
  <c r="I23" i="2" s="1"/>
  <c r="K22" i="2" a="1"/>
  <c r="K22" i="2" s="1"/>
  <c r="J22" i="2" a="1"/>
  <c r="J22" i="2" s="1"/>
  <c r="I22" i="2" a="1"/>
  <c r="I22" i="2" s="1"/>
  <c r="K21" i="2" a="1"/>
  <c r="K21" i="2" s="1"/>
  <c r="J21" i="2" a="1"/>
  <c r="J21" i="2" s="1"/>
  <c r="I21" i="2" a="1"/>
  <c r="I21" i="2" s="1"/>
  <c r="K20" i="2" a="1"/>
  <c r="K20" i="2" s="1"/>
  <c r="J20" i="2" a="1"/>
  <c r="J20" i="2" s="1"/>
  <c r="I20" i="2" a="1"/>
  <c r="I20" i="2" s="1"/>
  <c r="K19" i="2" a="1"/>
  <c r="K19" i="2" s="1"/>
  <c r="J19" i="2" a="1"/>
  <c r="J19" i="2" s="1"/>
  <c r="I19" i="2" a="1"/>
  <c r="I19" i="2" s="1"/>
  <c r="K18" i="2" a="1"/>
  <c r="K18" i="2" s="1"/>
  <c r="J18" i="2" a="1"/>
  <c r="J18" i="2" s="1"/>
  <c r="I18" i="2" a="1"/>
  <c r="I18" i="2" s="1"/>
  <c r="K17" i="2" a="1"/>
  <c r="K17" i="2" s="1"/>
  <c r="J17" i="2" a="1"/>
  <c r="J17" i="2" s="1"/>
  <c r="I17" i="2" a="1"/>
  <c r="I17" i="2" s="1"/>
  <c r="K16" i="2" a="1"/>
  <c r="K16" i="2" s="1"/>
  <c r="J16" i="2" a="1"/>
  <c r="J16" i="2" s="1"/>
  <c r="I16" i="2" a="1"/>
  <c r="I16" i="2" s="1"/>
  <c r="K15" i="2" a="1"/>
  <c r="K15" i="2" s="1"/>
  <c r="J15" i="2" a="1"/>
  <c r="J15" i="2" s="1"/>
  <c r="I15" i="2" a="1"/>
  <c r="I15" i="2" s="1"/>
  <c r="K14" i="2" a="1"/>
  <c r="K14" i="2" s="1"/>
  <c r="J14" i="2" a="1"/>
  <c r="J14" i="2" s="1"/>
  <c r="I14" i="2" a="1"/>
  <c r="I14" i="2" s="1"/>
  <c r="K13" i="2" a="1"/>
  <c r="K13" i="2" s="1"/>
  <c r="J13" i="2" a="1"/>
  <c r="J13" i="2" s="1"/>
  <c r="I13" i="2" a="1"/>
  <c r="I13" i="2" s="1"/>
  <c r="K12" i="2" a="1"/>
  <c r="K12" i="2" s="1"/>
  <c r="J12" i="2" a="1"/>
  <c r="J12" i="2" s="1"/>
  <c r="I12" i="2" a="1"/>
  <c r="I12" i="2" s="1"/>
  <c r="K11" i="2" a="1"/>
  <c r="K11" i="2" s="1"/>
  <c r="J11" i="2" a="1"/>
  <c r="J11" i="2" s="1"/>
  <c r="I11" i="2" a="1"/>
  <c r="I11" i="2" s="1"/>
  <c r="K10" i="2" a="1"/>
  <c r="K10" i="2" s="1"/>
  <c r="J10" i="2" a="1"/>
  <c r="J10" i="2" s="1"/>
  <c r="I10" i="2" a="1"/>
  <c r="I10" i="2" s="1"/>
  <c r="K9" i="2" a="1"/>
  <c r="K9" i="2" s="1"/>
  <c r="J9" i="2" a="1"/>
  <c r="J9" i="2" s="1"/>
  <c r="I9" i="2" a="1"/>
  <c r="I9" i="2" s="1"/>
  <c r="K8" i="2" a="1"/>
  <c r="K8" i="2" s="1"/>
  <c r="J8" i="2" a="1"/>
  <c r="J8" i="2" s="1"/>
  <c r="I8" i="2" a="1"/>
  <c r="I8" i="2" s="1"/>
  <c r="K7" i="2" a="1"/>
  <c r="K7" i="2" s="1"/>
  <c r="J7" i="2" a="1"/>
  <c r="J7" i="2" s="1"/>
  <c r="I7" i="2" a="1"/>
  <c r="I7" i="2" s="1"/>
  <c r="K6" i="2" a="1"/>
  <c r="K6" i="2" s="1"/>
  <c r="J6" i="2" a="1"/>
  <c r="J6" i="2" s="1"/>
  <c r="I6" i="2" a="1"/>
  <c r="I6" i="2" s="1"/>
  <c r="K5" i="2" a="1"/>
  <c r="K5" i="2" s="1"/>
  <c r="J5" i="2" a="1"/>
  <c r="J5" i="2" s="1"/>
  <c r="I5" i="2" a="1"/>
  <c r="I5" i="2" s="1"/>
  <c r="K4" i="2" a="1"/>
  <c r="K4" i="2" s="1"/>
  <c r="J4" i="2" a="1"/>
  <c r="J4" i="2" s="1"/>
  <c r="I4" i="2" a="1"/>
  <c r="I4" i="2" s="1"/>
  <c r="J3" i="2" a="1"/>
  <c r="J3" i="2" s="1"/>
  <c r="I3" i="2" a="1"/>
  <c r="I3" i="2" s="1"/>
  <c r="K3" i="2" a="1"/>
  <c r="K3" i="2" s="1"/>
  <c r="D43" i="5"/>
  <c r="D44" i="5" s="1"/>
  <c r="D45" i="5" s="1"/>
  <c r="D46" i="5" s="1"/>
  <c r="D47" i="5" s="1"/>
  <c r="D48" i="5" s="1"/>
  <c r="D23" i="4" l="1"/>
  <c r="D22" i="4"/>
  <c r="D21" i="4"/>
  <c r="D20" i="4"/>
  <c r="D19" i="4"/>
  <c r="D18" i="4"/>
  <c r="D17" i="4"/>
  <c r="D16" i="4"/>
  <c r="D15" i="4"/>
  <c r="D14" i="4"/>
  <c r="D13" i="4"/>
  <c r="D12" i="4"/>
  <c r="D11" i="4"/>
  <c r="D10" i="4"/>
  <c r="D9" i="4"/>
  <c r="D8" i="4"/>
  <c r="D7" i="4"/>
  <c r="D6" i="4"/>
  <c r="D5" i="4"/>
  <c r="D4" i="4"/>
  <c r="D3" i="4"/>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M6" i="4" l="1"/>
  <c r="M8" i="4"/>
  <c r="M5" i="4"/>
  <c r="M4" i="4"/>
  <c r="M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<sst xmlns="http://schemas.openxmlformats.org/spreadsheetml/2006/main" count="1719" uniqueCount="850">
  <si>
    <t>JP1 ジョブ一覧</t>
    <rPh sb="7" eb="9">
      <t>イチラン</t>
    </rPh>
    <phoneticPr fontId="1"/>
  </si>
  <si>
    <t>最終更新｜2026/6/26 19:05</t>
    <rPh sb="0" eb="4">
      <t>サイシュウコウシン</t>
    </rPh>
    <phoneticPr fontId="1"/>
  </si>
  <si>
    <t>#</t>
    <phoneticPr fontId="1"/>
  </si>
  <si>
    <t>上位パス</t>
  </si>
  <si>
    <t>ユニット名</t>
  </si>
  <si>
    <t>コメント</t>
  </si>
  <si>
    <t>種別</t>
  </si>
  <si>
    <t>/GFOOT/10_日次</t>
  </si>
  <si>
    <t>N0100_01_日次_APVマスタデータ</t>
  </si>
  <si>
    <t>日次_22:00</t>
  </si>
  <si>
    <t>ジョブネット</t>
  </si>
  <si>
    <t>①</t>
    <phoneticPr fontId="1"/>
  </si>
  <si>
    <t>N0100_02_日次</t>
  </si>
  <si>
    <t>業務的に大きいもの</t>
    <rPh sb="0" eb="2">
      <t>ギョウム</t>
    </rPh>
    <rPh sb="2" eb="3">
      <t>テキ</t>
    </rPh>
    <rPh sb="4" eb="5">
      <t>オオ</t>
    </rPh>
    <phoneticPr fontId="1"/>
  </si>
  <si>
    <t>N2910_日次監視</t>
  </si>
  <si>
    <t>日次_22:00 APV&amp;ETL日次処理監視</t>
  </si>
  <si>
    <t>N3010_NAIS監視</t>
  </si>
  <si>
    <t>日次_01:00 NAISの日次処理監視</t>
  </si>
  <si>
    <t>ジョブネット間でイベントの受け渡しをしているものは同時に切り替える必要がある</t>
    <rPh sb="6" eb="7">
      <t>カン</t>
    </rPh>
    <rPh sb="13" eb="14">
      <t>ウ</t>
    </rPh>
    <rPh sb="15" eb="16">
      <t>ワタ</t>
    </rPh>
    <rPh sb="25" eb="27">
      <t>ドウジ</t>
    </rPh>
    <rPh sb="28" eb="29">
      <t>キ</t>
    </rPh>
    <rPh sb="30" eb="31">
      <t>カ</t>
    </rPh>
    <rPh sb="33" eb="35">
      <t>ヒツヨウ</t>
    </rPh>
    <phoneticPr fontId="1"/>
  </si>
  <si>
    <t>N3110_実行監視</t>
  </si>
  <si>
    <t>日次_17:00 前日の実行中ジョブ（送信系）があるかを監視する（N0100系を監視）</t>
  </si>
  <si>
    <t>N4010_JP1LOG</t>
  </si>
  <si>
    <t>JP1日次処理ログ取得</t>
  </si>
  <si>
    <t>/GFOOT/10_日次/01_HULFT</t>
  </si>
  <si>
    <t>メンテナンスBackUpファイル退避</t>
  </si>
  <si>
    <t>手動</t>
  </si>
  <si>
    <t>集信_00_AEONデータ処理結果確認</t>
  </si>
  <si>
    <t>毎時_09:00~20:00 ANKYAKUTIME.dat EAS2E00A　未処理ファイルのチェック</t>
  </si>
  <si>
    <t>集信_01_AEON_HHT_v3</t>
  </si>
  <si>
    <t>10分毎_08:50~22:50 AN_HHT001.dat</t>
  </si>
  <si>
    <t>集信_01_AEON_HHT_v3_DrSum</t>
  </si>
  <si>
    <t>日次_07:00~08:40 AN_HHT001.dat 売変情報付加</t>
  </si>
  <si>
    <t>集信_02_共通POS_数量データ</t>
  </si>
  <si>
    <t>15分毎_09:00~24:30 EAS2E016.txt</t>
  </si>
  <si>
    <t>集信_03_AEON_客数_v2</t>
  </si>
  <si>
    <t>毎時_09:30~19:30 【35分受信】ANKYAKUTIME.dat EAS2E00A</t>
  </si>
  <si>
    <t>集信_04_AEON_時間帯別売上</t>
  </si>
  <si>
    <t>毎時_09:40~19:40 【35分受信】ANTIME　EAS2E007</t>
  </si>
  <si>
    <t>集信_05_共通POS_POS売上_NLOG</t>
  </si>
  <si>
    <t>毎時_00:00~24:00 【00分受信】EAS2E014.txt</t>
  </si>
  <si>
    <t>集信_05_共通POS_処理結果確認</t>
  </si>
  <si>
    <t>毎時_00:20~24:20 受信ファイルが残っていないことを確認用</t>
  </si>
  <si>
    <t>集信_06_イオンコンセ_単品売上</t>
  </si>
  <si>
    <t>毎時_08:40~24:40 【40分受信】EAS2E024.txt</t>
  </si>
  <si>
    <t>集信_12_AEON_POS売上</t>
  </si>
  <si>
    <t>日次_00:40 【受信】EAS2E017.txt イオンコンセ売上</t>
  </si>
  <si>
    <t>集信_13_AEON_売変</t>
  </si>
  <si>
    <t>日次_01:00 【01:00受信】AN_BAIHEN.dat 60分で打ち切り</t>
  </si>
  <si>
    <t>集信_14_AEON_客数</t>
  </si>
  <si>
    <t>日次_01:00 【01:00受信】ANKYAKUDAY.dat  60分で打ち切り</t>
  </si>
  <si>
    <t>集信_21_AEONコンセ精算</t>
  </si>
  <si>
    <t>月次_05日_06:00,18日_23:30 【受信】ANKEIRI01.DAT ANKEIRI02.DAT</t>
  </si>
  <si>
    <t>集信_23_クレジット明細</t>
  </si>
  <si>
    <t>日次_09:00 【09:00受信】AEON_CREDIT.DAT</t>
  </si>
  <si>
    <t>集信_31_PSS_004</t>
  </si>
  <si>
    <t>日次_22:00 【22:45受信】DC受信</t>
  </si>
  <si>
    <t>集信_32_PSS_005-006</t>
  </si>
  <si>
    <t>日次_00:05 【00:05受信】東西日本LC</t>
  </si>
  <si>
    <t>集信_34_ASM_出荷実績</t>
  </si>
  <si>
    <t>日次_18:00 【23:00受信】ASM_出荷情報</t>
  </si>
  <si>
    <t>集信_35_打鍵・返品・違算データ</t>
  </si>
  <si>
    <t>月次_05日_11:00 【11:00受信】EAS2E01E.csv EAS2E01F.csv EAS2E020.csv</t>
  </si>
  <si>
    <t>配信_11_AEON_商品マスタ</t>
  </si>
  <si>
    <t>日次_21:50 【01:00送信】ANPLUSND.DAT イオンコンセ</t>
  </si>
  <si>
    <t>配信_11_AEON_商品マスタ_事前</t>
  </si>
  <si>
    <t>日次_15:00 【17:00送信】ANPLUSND.DAT イオンコンセ</t>
  </si>
  <si>
    <t>配信_12_共通POS向け_レジマスタ</t>
  </si>
  <si>
    <t>日次_23:00 【23:25送信】EAS2E10.txt EAS2E0E.txt</t>
  </si>
  <si>
    <t>配信_21_AOC_SAPへのデータ連携</t>
  </si>
  <si>
    <t>日次_02:15 【09:00送信】adr3wlx.txt イオン経理連携</t>
  </si>
  <si>
    <t>配信_22_AOC_オーナーズ実績</t>
  </si>
  <si>
    <t>日次_13:00 【13:00送信】OWNER_AEON.dat イオン経理連携（毎月3日）</t>
  </si>
  <si>
    <t>配信_30_PSS</t>
  </si>
  <si>
    <t>日次_21:50 【05:50送信】PSS001,PSS002,PSS003</t>
  </si>
  <si>
    <t>配信_31_PSS_009</t>
  </si>
  <si>
    <t>日次_21:50 【09:00送信】PSS009</t>
  </si>
  <si>
    <t>配信_32_AEONTopValue向け発注</t>
  </si>
  <si>
    <t>日次_21:50 【09:00送信】VANSENDH_TV</t>
  </si>
  <si>
    <t>配信_33_ASM向け_発注検収返品デ</t>
  </si>
  <si>
    <t>日次_21:50 【06:00送信】C:\HFT\SND\VANSENDx_ASM.dat</t>
  </si>
  <si>
    <t>配信_34_LOMOS_自動値札貼付</t>
  </si>
  <si>
    <t>日次_21:45 【07:00送信】TICKET_SND_001.DATA 東・西・北海道LC向け</t>
  </si>
  <si>
    <t>配信_40_ASM_販社支払データ</t>
  </si>
  <si>
    <t>月次_01日_15:00 【15:00送信】SHRI_DATA_ASM.dat</t>
  </si>
  <si>
    <t>配信_50_AEON_経営DB</t>
  </si>
  <si>
    <t>日次_02:00 【06:01送信】イオン経営ＤＢ向けデータ送信</t>
  </si>
  <si>
    <t>/GFOOT/10_日次/01_LinkExpress</t>
  </si>
  <si>
    <t>00_店舗HHT用_SoketFile出力_OCI</t>
  </si>
  <si>
    <t>日次 07:40 ALL_PLU_SOCKET</t>
  </si>
  <si>
    <t>01_店舗HHT用_PLU_Check_OCI</t>
  </si>
  <si>
    <t>日次 06:40-23:00 に起動 plu_socket.exeの起動監視 PLU_CHECK</t>
  </si>
  <si>
    <t>10_新店用データ　作成・送信</t>
  </si>
  <si>
    <t>日次 13:00 PLUMINI 新店の商品マスタ・部門マスタ作成・送信</t>
  </si>
  <si>
    <t>11_商品マスタ_01_作成送信_HHT</t>
  </si>
  <si>
    <t>9:00-22:00の間　10分毎 ファイル作成・送信・SocketFile出力</t>
  </si>
  <si>
    <t>11_商品マスタ_03_作成送信_売変</t>
  </si>
  <si>
    <t>日次  3:00 PLUMUPD 期間売変の売価を送信</t>
  </si>
  <si>
    <t>TYNUSS40疎通テスト</t>
  </si>
  <si>
    <t>LinkExpressServer(TYNUSS40)への接続テスト</t>
  </si>
  <si>
    <t>/GFOOT/10_日次/02_VAN</t>
  </si>
  <si>
    <t>10_取引先からの出荷データ受信</t>
  </si>
  <si>
    <t>日次_22:20 【受信】</t>
  </si>
  <si>
    <t>11_取引先への送信_VAN</t>
  </si>
  <si>
    <t>日次_06:00 【送信】発注・検収・返品 0:05からイベント監視</t>
  </si>
  <si>
    <t>/GFOOT/10_日次/03_EC</t>
  </si>
  <si>
    <t>001_商品マスタ</t>
  </si>
  <si>
    <t>日次_21:55</t>
  </si>
  <si>
    <t>002_在庫データ</t>
  </si>
  <si>
    <t>日次_00:30</t>
  </si>
  <si>
    <t>003_入荷予定データ</t>
  </si>
  <si>
    <t>日次_01:00 JsonConsoleAppによるデータ登録(UPLOAD)</t>
  </si>
  <si>
    <t>020_EC_データ受信</t>
  </si>
  <si>
    <t>日次_22:00 24:00まで監視</t>
  </si>
  <si>
    <t>030_NDAM</t>
  </si>
  <si>
    <t>週次_日曜_22:01 NDAM連携ファイル作成配置</t>
  </si>
  <si>
    <t>店舗売価マスタ_EC</t>
  </si>
  <si>
    <t>日次_10:00 DRSUMの店舗売価マスタ_ECを更新する</t>
  </si>
  <si>
    <t>/GFOOT/10_日次/04_LUCKY</t>
  </si>
  <si>
    <t>01_北雄LUCKY向け商品マスタ送信</t>
  </si>
  <si>
    <t>日次_08:50 【送信】</t>
  </si>
  <si>
    <t>02_北雄LUCKY向けデータ処理</t>
  </si>
  <si>
    <t>日次_11:00 【受信】売上・売変データ</t>
  </si>
  <si>
    <t>/GFOOT/10_日次/05_棚卸</t>
  </si>
  <si>
    <t>商品マスタ送信_v2.0</t>
  </si>
  <si>
    <t>日次_01:00 【送信03:00】AJIS&amp;DSCへの商品マスタ連携</t>
  </si>
  <si>
    <t>棚卸チェックリスト_Dr.Sum</t>
  </si>
  <si>
    <t>日次_13:00 棚卸チェックリストDr.Sum</t>
  </si>
  <si>
    <t>棚卸データ受信_v2.0</t>
  </si>
  <si>
    <t>日次_19:05 【受信19:00】AJIS&amp;DSCからの棚卸データ受信</t>
  </si>
  <si>
    <t>棚卸情報更新確認</t>
  </si>
  <si>
    <t>日次_13:10 棚卸情報が登録された際に通知を行う</t>
  </si>
  <si>
    <t>/GFOOT/10_日次/06_消耗品発注</t>
  </si>
  <si>
    <t>01_発注データコピー</t>
  </si>
  <si>
    <t>週次_日曜_21:55 【送信】ｲｵﾝﾃﾞｨﾗｲﾄ消耗品発注 7:50イベント監視終了</t>
  </si>
  <si>
    <t>02_発注データバックアップ</t>
  </si>
  <si>
    <t>週次_日曜_20:00 ｲｵﾝﾃﾞｨﾗｲﾄ様要望、前回データを定刻に退避</t>
  </si>
  <si>
    <t>03_消耗品発注明細</t>
  </si>
  <si>
    <t>月曜_09:00 消耗品発注明細のデータ更新</t>
  </si>
  <si>
    <t>/GFOOT/10_日次/07_LCDC</t>
  </si>
  <si>
    <t>00_更新_GWMS_00_返品予定の在庫</t>
  </si>
  <si>
    <t>日次_05:00 北海道LCへ返品予定（在庫）データの抽出</t>
  </si>
  <si>
    <t>00_更新_GWMS_01_返品実績明細</t>
  </si>
  <si>
    <t>日次_05:00 返品実績のデータを作成</t>
  </si>
  <si>
    <t>01_送信_GWMS_01_データ送信</t>
  </si>
  <si>
    <t>日次_07:20 GWMSへのデータ取込</t>
  </si>
  <si>
    <t>02_送信_GWMS_02_作業日更新</t>
  </si>
  <si>
    <t>週次_日曜_16:00</t>
  </si>
  <si>
    <t>03_送信_GWMS_03_転送予定データ</t>
  </si>
  <si>
    <t>日次_06:30</t>
  </si>
  <si>
    <t>10_送信_BOX_本部発注データ送信</t>
  </si>
  <si>
    <t>日次_13:00</t>
  </si>
  <si>
    <t>11_送信_BOX_ソータ外検収データ</t>
  </si>
  <si>
    <t>日次_08:45</t>
  </si>
  <si>
    <t>12_送信_BOX_出荷データ送信</t>
  </si>
  <si>
    <t>日次_09:30</t>
  </si>
  <si>
    <t>13_送信_BOX_取引先出荷実績</t>
  </si>
  <si>
    <t>日次_05:30 取引先から前日に受信した出荷実績を伝票形式でLC向けのBOXに保存</t>
  </si>
  <si>
    <t>19_BOXバックアップ</t>
  </si>
  <si>
    <t>日次_05:00</t>
  </si>
  <si>
    <t>/GFOOT/10_日次/08_商品供給</t>
  </si>
  <si>
    <t>11_商品供給_受領データ受信</t>
  </si>
  <si>
    <t>日次_17:00 イオン北海道_商品供給_物品受領データ受信</t>
  </si>
  <si>
    <t>11_商品供給_発注データ受信</t>
  </si>
  <si>
    <t>日次_14:00 イオン北海道_商品供給_発注・物品受領データ受信</t>
  </si>
  <si>
    <t>11_商品供給_発注データ受信_v2</t>
  </si>
  <si>
    <t>日次_09:00 イオン北海道_商品供給_発注データ受信</t>
  </si>
  <si>
    <t>12_商品供給_出荷データ送信</t>
  </si>
  <si>
    <t>日次_10:00 イオン北海道_商品供給_出荷実績送信</t>
  </si>
  <si>
    <t>13.商品供給_ASM発注日変更</t>
  </si>
  <si>
    <t>日次_09:00 ASM発注日変更・Dr.Sumへ連携</t>
  </si>
  <si>
    <t>13_商品供給_発注データ集約</t>
  </si>
  <si>
    <t>本稼働時は日次ジョブに組み込む 02：00頃 イオン北海道_商品供給_発注データ集約　8</t>
  </si>
  <si>
    <t>14.商品供給_商品マスタ出力</t>
  </si>
  <si>
    <t>日次_05:00 商品部に商品EDIデータを提供</t>
  </si>
  <si>
    <t>/GFOOT/10_日次/09_取引先</t>
  </si>
  <si>
    <t>00_送信_BOX_取引先_売上_在庫</t>
  </si>
  <si>
    <t>週次_月曜_08:45 取引先連携_売上・在庫データ</t>
  </si>
  <si>
    <t>10_在庫情報取込</t>
  </si>
  <si>
    <t>30分毎_09:25~18:25 取引先の在庫情報の取込処理</t>
  </si>
  <si>
    <t>10_在庫情報取込_PSS</t>
  </si>
  <si>
    <t>日次_07:00 Dr.Sumへの在庫情報取込(毎朝PSS反映)</t>
  </si>
  <si>
    <t>10_在庫情報取込_取引先_履歴</t>
  </si>
  <si>
    <t>日次_19:30 GFIF.TT_取引先在庫_履歴にデータを格納</t>
  </si>
  <si>
    <t>20_NIKE提供データ</t>
  </si>
  <si>
    <t>日次_02:00 edimaster01</t>
  </si>
  <si>
    <t>30_取引先連携_発注停止再開</t>
  </si>
  <si>
    <t>日次_10:00 取引先から連携されたExcelをもとに発注停止・再開</t>
  </si>
  <si>
    <t>/GFOOT/10_日次/10_DWH</t>
  </si>
  <si>
    <t>00_店舗売価マスタ更新</t>
  </si>
  <si>
    <t>30分毎_09:00~23:00 同一品番JANコード違いのレコードメンテナンス</t>
  </si>
  <si>
    <t>01_NLOG受信後処理_Dr.Sum更新</t>
  </si>
  <si>
    <t>毎時_00:00~23:00 DWH&amp;Dr.Sum更新(NLOG受信後)</t>
  </si>
  <si>
    <t>02_売上速報_ver2.0</t>
  </si>
  <si>
    <t>00:00～23:00 毎時更新 N_ADW_011_売上速報</t>
  </si>
  <si>
    <t>03_発注予定実績更新</t>
  </si>
  <si>
    <t>毎時_10:00~22:00 発注予定実績 1時間毎に更新</t>
  </si>
  <si>
    <t>07_退店チェックリスト更新</t>
  </si>
  <si>
    <t>6:00 10:00 13:00 17:00 に更新</t>
  </si>
  <si>
    <t>10_マスタ更新</t>
  </si>
  <si>
    <t>日次_21:45 マスタ更新</t>
  </si>
  <si>
    <t>11_処理日付更新</t>
  </si>
  <si>
    <t>日次_00:00 処理日付更新</t>
  </si>
  <si>
    <t>12_店舗売価マスタ更新_BO転入</t>
  </si>
  <si>
    <t>日次_22:15 店舗売価マスタ更新 イオンコンセ向け商品マスタの対応のため</t>
  </si>
  <si>
    <t>15_DWH_Dr.Sum更新</t>
  </si>
  <si>
    <t>日次_23:10 DWH・Dr.Sumデータ更新</t>
  </si>
  <si>
    <t>16_DWH_NIS関連処理</t>
  </si>
  <si>
    <t>日次_00:05 DWH_NIS関連処理</t>
  </si>
  <si>
    <t>17_DWH_棚卸_ver1.0</t>
  </si>
  <si>
    <t>日次_07:00 棚卸</t>
  </si>
  <si>
    <t>18_DWH_Sim</t>
  </si>
  <si>
    <t>日次_00:10 Simulation</t>
  </si>
  <si>
    <t>21_週別_DrSum_レポート更新</t>
  </si>
  <si>
    <t>週次_月曜_01:30 Dr.Sumデータ更新 TanpinD・欠品率</t>
  </si>
  <si>
    <t>31_月別品番別実績当月作成</t>
  </si>
  <si>
    <t>月次_02日_00:15 DWHデータ更新</t>
  </si>
  <si>
    <t>32_AP-V過月データ退避</t>
  </si>
  <si>
    <t>月次_10日_13:00 APVの３か月前データの退避</t>
  </si>
  <si>
    <t>33_月次_データメンテナンス</t>
  </si>
  <si>
    <t>月次_10日_07:00 データメンテナンス処理</t>
  </si>
  <si>
    <t>Jobserver疎通テスト</t>
  </si>
  <si>
    <t>/GFOOT/10_日次/10_NAIS</t>
  </si>
  <si>
    <t>10_NAIS_マスタデータ送信</t>
  </si>
  <si>
    <t>日次_21:55 【送信】NAISへ送信</t>
  </si>
  <si>
    <t>11_NAIS_実績データ送信</t>
  </si>
  <si>
    <t>日次_22:00 【送信】29:00まで監視  PSS004,intr_d,intr_t</t>
  </si>
  <si>
    <t>NAIS関連処理</t>
  </si>
  <si>
    <t>日次_22:00 【送信】データを抽出、NAISへITEMC2データを送信</t>
  </si>
  <si>
    <t>/GFOOT/10_日次/20_会計関連</t>
  </si>
  <si>
    <t>10.SSAdOn_アクセスログクリア</t>
  </si>
  <si>
    <t>日次_07:00 access_log4ヵ月前のデータ削除</t>
  </si>
  <si>
    <t>10.SSAdOn_社員データ取込_V2</t>
  </si>
  <si>
    <t>日次_08:00 2025.01.09 開始  SOFAサーバ廃止に伴いジョブ変更</t>
  </si>
  <si>
    <t>10.SSAdOn_売上データ取込</t>
  </si>
  <si>
    <t>日次_08:00</t>
  </si>
  <si>
    <t>10.SSAdOn_売上確定画面</t>
  </si>
  <si>
    <t>日次_08:30 12:00 15:00 18:00</t>
  </si>
  <si>
    <t>10.SSAdOn_部門マスタ初期化</t>
  </si>
  <si>
    <t>日次_07:40</t>
  </si>
  <si>
    <t>11.Dr.Sum_買掛データ連携</t>
  </si>
  <si>
    <t>日次_03:00 仕入返品データを日々連携する</t>
  </si>
  <si>
    <t>11.Dr.Sum_売上データ連携</t>
  </si>
  <si>
    <t>日次_07:30</t>
  </si>
  <si>
    <t>12.Dr.Sum_マスタ連携</t>
  </si>
  <si>
    <t>日次_20:00</t>
  </si>
  <si>
    <t>20.FS店舗_入金管理</t>
  </si>
  <si>
    <t>日時_NN:NN FS店舗の入金予定データと入金実績を管理する</t>
  </si>
  <si>
    <t>21.FS入金_売上反映</t>
  </si>
  <si>
    <t>毎時10:10~23:10まで　売上データ反映</t>
  </si>
  <si>
    <t>40.SSNX_仕訳明細_Dr.Sum連携</t>
  </si>
  <si>
    <t>日次_04:00 SSNX-&gt;DHW-&gt;Dr.sum連携 7時頃開始するとDr.Sumが立て込むため</t>
  </si>
  <si>
    <t>40.楽楽精算向け_データ連携</t>
  </si>
  <si>
    <t>日次_02:00 楽楽精算向け_データ連携</t>
  </si>
  <si>
    <t>50.SSAddOn2_私有車データ更新</t>
  </si>
  <si>
    <t>日次_09:00 私有車の情報をWeb申請から取得する</t>
  </si>
  <si>
    <t>90.データベースバックアップ</t>
  </si>
  <si>
    <t>日次_05:00 7世代管理</t>
  </si>
  <si>
    <t>99.会計_DrSum更新</t>
  </si>
  <si>
    <t>15分毎_09:00~21:00 会計システムDr.Sum更新※止めても問題なし</t>
  </si>
  <si>
    <t>nn.金庫内チェック_売上登録</t>
  </si>
  <si>
    <t>金庫内チェックリスト用の売上データを過去6日分登録する。</t>
  </si>
  <si>
    <t>/GFOOT/10_日次/30_人事関連</t>
  </si>
  <si>
    <t>01_ADPSデータLoad_ADW_社員現職</t>
  </si>
  <si>
    <t>日次_22:30 ADPSからデータをコピー（指定したファイルを先行して実施）</t>
  </si>
  <si>
    <t>02_ADPSデータLoad_ADW_V2</t>
  </si>
  <si>
    <t>日次_02:45 新ADPSDB(.22)に出力されるElizea連携用CSVを旧ADPSDB（.185）へロード</t>
  </si>
  <si>
    <t>03_社員・組織情報作成</t>
  </si>
  <si>
    <t>日次_02:30 JINJI　ADPSのデータをもとに共通マスタを作成</t>
  </si>
  <si>
    <t>04_AD連携</t>
  </si>
  <si>
    <t>日次_02:30 ActiveDirectoryへの連携</t>
  </si>
  <si>
    <t>04_AgileWorks連携</t>
  </si>
  <si>
    <t>日次_02:30 AgileWorksへ連携_上位所属情報</t>
  </si>
  <si>
    <t>04_GULF連携</t>
  </si>
  <si>
    <t>日次_02:30 GULFCSM向け_データ連携</t>
  </si>
  <si>
    <t>05_雇用契約書連携_GULF_To_ADPS</t>
  </si>
  <si>
    <t>日次_01:00 GULF-&gt;ADPSへデータ移動（BOX経由）</t>
  </si>
  <si>
    <t>10_GULFデータ取込&amp;Dr.Sum</t>
  </si>
  <si>
    <t>毎時_09:15~19:15</t>
  </si>
  <si>
    <t>10_打刻実績_自社レジ</t>
  </si>
  <si>
    <t>日次_13:00 自社レジ打刻実績</t>
  </si>
  <si>
    <t>20_無期フレックス社員抽出</t>
  </si>
  <si>
    <t>日次_06:00 Dr.Sumデータ更新 ﾌﾚｯｸｽ無期雇用者功労金支給確認</t>
  </si>
  <si>
    <t>/GFOOT/10_日次/31_店舗</t>
  </si>
  <si>
    <t>01_自動売変</t>
  </si>
  <si>
    <t>日次_00:05 自動売変システム　日次処理</t>
  </si>
  <si>
    <t>02_自動売変_店舗商品ＲＭ更新</t>
  </si>
  <si>
    <t>日次_14:00 自動売変_BOOK_店舗商品ＲＭ　日次処理</t>
  </si>
  <si>
    <t>03_自動売変_起案書チェック</t>
  </si>
  <si>
    <t>2026.03.28 停止：日次_10:00/15:00/18:00 自動売変システム　日次処理</t>
  </si>
  <si>
    <t>03_自動売変_商品マスタ事前確認</t>
  </si>
  <si>
    <t>日次_15:00 自動売変レジ送信データ_事前確認</t>
  </si>
  <si>
    <t>04_DrSum連携_売変・転送押印</t>
  </si>
  <si>
    <t>日次_22:30 2026.06.11行数が多いため22:30に変更</t>
  </si>
  <si>
    <t>ユーザマスタ更新</t>
  </si>
  <si>
    <t>日次_10:00 SY_ユーザマスタのユーザ種別更新</t>
  </si>
  <si>
    <t>売変データ連携</t>
  </si>
  <si>
    <t>日次_23:00 売変データ連携</t>
  </si>
  <si>
    <t>/GFOOT/10_日次/50_商品関連</t>
  </si>
  <si>
    <t>10_商品マスタ_単価ゼロ商品</t>
  </si>
  <si>
    <t>日次_9:30 商品部に商品マスタデータを提供</t>
  </si>
  <si>
    <t>10_商品画像ダウンロード</t>
  </si>
  <si>
    <t>日次_05:00 画像データダウンロード</t>
  </si>
  <si>
    <t>11_商品画像ダウンロード_削除</t>
  </si>
  <si>
    <t>日次_13:00 画像データ削除</t>
  </si>
  <si>
    <t>21_MD計画_APV連携データ受信</t>
  </si>
  <si>
    <t>日次_03:00 APVから受信したデータを処理</t>
  </si>
  <si>
    <t>30_店舗メニュー表_店舗商品更新</t>
  </si>
  <si>
    <t>日次_9:30 店舗メニュー表エクセルから店舗商品ＲＭを更新する</t>
  </si>
  <si>
    <t>31_店別重点計画_データ連携</t>
  </si>
  <si>
    <t>33_週別品番色別_単品計画更新</t>
  </si>
  <si>
    <t>随時起動 店別重点商品の計画変更時に手動実行用（通常は夜間処理で更新）</t>
  </si>
  <si>
    <t>33_商品台帳_単品計画_更新</t>
  </si>
  <si>
    <t>日次_00:00-22:00 30分毎 TT_週別品番色別_単品計画更新・Dr.Sum更新</t>
  </si>
  <si>
    <t>/GFOOT/10_日次/51_POPシステム</t>
  </si>
  <si>
    <t>01_商品マスタ送信_単品POP</t>
  </si>
  <si>
    <t>日次_23:05</t>
  </si>
  <si>
    <t>/GFOOT/10_日次/52_ASBEE+関連</t>
  </si>
  <si>
    <t>DrSum連携_ASBEE+データ</t>
  </si>
  <si>
    <t>/GFOOT/10_日次/60_予算関連</t>
  </si>
  <si>
    <t>00.日割予算_日別バックアップ</t>
  </si>
  <si>
    <t>00_日割予算_NAIS向け送信</t>
  </si>
  <si>
    <t>日次_05:00 NAIS向けデータ作成処理</t>
  </si>
  <si>
    <t>10.日割予算_実績データ作成</t>
  </si>
  <si>
    <t>日次_03:00 APV更新イベント受信後</t>
  </si>
  <si>
    <t>20.予算システム向け_実績連携</t>
  </si>
  <si>
    <t>日次_21:00 BizPlanへの実績データの連携（DWH-&gt;SSO-&gt;BizPlan)</t>
  </si>
  <si>
    <t>30.月次予算データ取込_v2</t>
  </si>
  <si>
    <t>15分毎_8:00~20:00 予算システム取込処理（BizPlan-&gt;DWH,NAIS）</t>
  </si>
  <si>
    <t>40.業態別按分率作成</t>
  </si>
  <si>
    <t>月次_01日_01:00</t>
  </si>
  <si>
    <t>/GFOOT/10_日次/70_WorkFlow</t>
  </si>
  <si>
    <t>00_送信_商品部指示返品_v2</t>
  </si>
  <si>
    <t>日次_00:00 商品部指示データ作成 AGILEWORKS_USER.DIRECT_DATA</t>
  </si>
  <si>
    <t>10_返品・事故伝・実在庫訂正</t>
  </si>
  <si>
    <t>日次_22:00 WEB申請データ連携　返品・事故伝票・実在庫訂正・棚卸用売変・棚卸用転送</t>
  </si>
  <si>
    <t>11_在籍確認票</t>
  </si>
  <si>
    <t>日次_15:00 人事刷新データをAGWに取込</t>
  </si>
  <si>
    <t>12_組織＆Roleに属性情報</t>
  </si>
  <si>
    <t>日次_05:00 AGWのUSERマスタへの追加情報を取込</t>
  </si>
  <si>
    <t>13_ユニット補正データ出力</t>
  </si>
  <si>
    <t>日次_09:30 ユニットデータのリカバリ用データ出力（将来的には廃止可能）</t>
  </si>
  <si>
    <t>14_タイミー募集掲載_組織更新</t>
  </si>
  <si>
    <t>日次_13:00 AGWのUSERマスタへの追加情報を取込</t>
  </si>
  <si>
    <t>15_棚卸_転送売変データ連携</t>
  </si>
  <si>
    <t>日次_15:00 AGW_マスタデータ設定用データ連携</t>
  </si>
  <si>
    <t>16_送信_現金過不足報告書</t>
  </si>
  <si>
    <t>週次_8:00 WEB申請データ連携　現金過不足</t>
  </si>
  <si>
    <t>oci_AgileWorks向け_人事関連</t>
  </si>
  <si>
    <t>日次_03:30 ワークフロー連携データ作成root</t>
  </si>
  <si>
    <t>oci_AgileWorks向け_店舗・商品</t>
  </si>
  <si>
    <t>日次_05:00 ワークフロー外部マスタ作成(ADPS以外)root</t>
  </si>
  <si>
    <t>イベント送受信</t>
    <rPh sb="4" eb="7">
      <t>ソウジュシン</t>
    </rPh>
    <phoneticPr fontId="1"/>
  </si>
  <si>
    <t>リカバリ方法</t>
    <rPh sb="4" eb="6">
      <t>ホウホウ</t>
    </rPh>
    <phoneticPr fontId="1"/>
  </si>
  <si>
    <t>後戻りできないもの</t>
    <rPh sb="0" eb="2">
      <t>アトモド</t>
    </rPh>
    <phoneticPr fontId="1"/>
  </si>
  <si>
    <t>確認方法（JP1のジョブの正常終了のほか、新旧両方で起動していないことを確認）</t>
    <rPh sb="0" eb="2">
      <t>カクニン</t>
    </rPh>
    <rPh sb="2" eb="4">
      <t>ホウホウ</t>
    </rPh>
    <rPh sb="13" eb="15">
      <t>セイジョウ</t>
    </rPh>
    <rPh sb="15" eb="17">
      <t>シュウリョウ</t>
    </rPh>
    <rPh sb="21" eb="22">
      <t>シン</t>
    </rPh>
    <rPh sb="22" eb="23">
      <t>キュウ</t>
    </rPh>
    <rPh sb="23" eb="25">
      <t>リョウホウ</t>
    </rPh>
    <rPh sb="26" eb="28">
      <t>キドウ</t>
    </rPh>
    <rPh sb="36" eb="38">
      <t>カクニン</t>
    </rPh>
    <phoneticPr fontId="1"/>
  </si>
  <si>
    <t>JP1の実行ログ、バッチの実行ログ</t>
    <rPh sb="4" eb="6">
      <t>ジッコウ</t>
    </rPh>
    <rPh sb="13" eb="15">
      <t>ジッコウ</t>
    </rPh>
    <phoneticPr fontId="1"/>
  </si>
  <si>
    <t>運用</t>
    <rPh sb="0" eb="2">
      <t>ウンヨウ</t>
    </rPh>
    <phoneticPr fontId="1"/>
  </si>
  <si>
    <t>/GFOOT/10_日次/90_運用関連</t>
  </si>
  <si>
    <t>01_GFDWH_MONTH_START_最適化</t>
  </si>
  <si>
    <t>月初日_11:00 OCI ADB 高頻度オプティマイザの停止</t>
  </si>
  <si>
    <t>01_GFDWH_MONTH_STOP_最適化</t>
  </si>
  <si>
    <t>月末日_21:00 OCI ADB 高頻度オプティマイザの停止</t>
  </si>
  <si>
    <t>01_GFDWH_WEEK_START_最適化</t>
  </si>
  <si>
    <t>週次_11:00 【月】OCI ADB 高頻度オプティマイザの停止</t>
  </si>
  <si>
    <t>01_GFDWH_WEEK_STOP_最適化</t>
  </si>
  <si>
    <t>週次_21:00 【日】OCI ADB 高頻度オプティマイザの停止</t>
  </si>
  <si>
    <t>02_Asteria_FSMC_Restart</t>
  </si>
  <si>
    <t>日次_20:30 ASTERIAのManagementConsoleを再起動する（使用メモリ初期化）</t>
  </si>
  <si>
    <t>03_BackupFile_NAS_Move</t>
  </si>
  <si>
    <t>日次_13:00 NASドライブへのBackupファイル移動(TYCLDS30 Backup移動)</t>
  </si>
  <si>
    <t>05_月中コントロール用_データ作</t>
  </si>
  <si>
    <t>日次_10:00-20:00 1時間毎に監視 GRPMSを5部門、6部門に按分する</t>
  </si>
  <si>
    <t>06_店舗作成伝票確認</t>
  </si>
  <si>
    <t>日次_09:45 データ作成＆Dr.Sum反映</t>
  </si>
  <si>
    <t>90_APVバッチ処理</t>
  </si>
  <si>
    <t>手動 APVに伝票データを連携する用のバッチ</t>
  </si>
  <si>
    <t>ECデータファイル出力</t>
  </si>
  <si>
    <t>日次_13:00 ECデータをテーブルに取り込みNAIS、APVへの標準ロード形式ファイルを作</t>
  </si>
  <si>
    <t>切替前の動作確認</t>
    <rPh sb="0" eb="2">
      <t>キリカエ</t>
    </rPh>
    <rPh sb="2" eb="3">
      <t>マエ</t>
    </rPh>
    <rPh sb="4" eb="6">
      <t>ドウサ</t>
    </rPh>
    <rPh sb="6" eb="8">
      <t>カクニン</t>
    </rPh>
    <phoneticPr fontId="1"/>
  </si>
  <si>
    <t>各Agentサーバと疎通確認ができること</t>
    <rPh sb="0" eb="1">
      <t>カク</t>
    </rPh>
    <rPh sb="10" eb="12">
      <t>ソツウ</t>
    </rPh>
    <rPh sb="12" eb="14">
      <t>カクニン</t>
    </rPh>
    <phoneticPr fontId="1"/>
  </si>
  <si>
    <t>監視（Zabbix）できること</t>
    <rPh sb="0" eb="2">
      <t>カンシ</t>
    </rPh>
    <phoneticPr fontId="1"/>
  </si>
  <si>
    <t>メール、Slackへの通知ができること</t>
    <rPh sb="11" eb="13">
      <t>ツウチ</t>
    </rPh>
    <phoneticPr fontId="1"/>
  </si>
  <si>
    <t>即時の場合、WebSAM経由で電話通報ができること</t>
    <rPh sb="0" eb="2">
      <t>ソクジ</t>
    </rPh>
    <rPh sb="3" eb="5">
      <t>バアイ</t>
    </rPh>
    <rPh sb="12" eb="14">
      <t>ケイユ</t>
    </rPh>
    <rPh sb="15" eb="17">
      <t>デンワ</t>
    </rPh>
    <rPh sb="17" eb="19">
      <t>ツウホウ</t>
    </rPh>
    <phoneticPr fontId="1"/>
  </si>
  <si>
    <t>(参考)イベント受信待ち</t>
    <phoneticPr fontId="1"/>
  </si>
  <si>
    <t>jp1admin</t>
  </si>
  <si>
    <t>TYCLDS30</t>
  </si>
  <si>
    <t>APVマスタデータ出力完了_002</t>
  </si>
  <si>
    <t>/GFOOT/10_日次/01_HULFT/配信_11_AEON_商品マスタ</t>
  </si>
  <si>
    <t>7FFFA002_10_日次/N0100_01_日次_APVマスタデータ</t>
  </si>
  <si>
    <t>JP1イベント受信監視</t>
  </si>
  <si>
    <t>店舗売価マスタ_BO転入完了</t>
  </si>
  <si>
    <t>7FFFA708_10_日次/10_DWH/12_店舗売価マスタ更新_BO転入</t>
  </si>
  <si>
    <t>売変データ更新完了</t>
  </si>
  <si>
    <t>7FFFA709 10_日次/31_店舗/01_自動売変</t>
  </si>
  <si>
    <t>売変_事前確認_完了</t>
  </si>
  <si>
    <t>/GFOOT/10_日次/01_HULFT/配信_11_AEON_商品マスタ_事前</t>
  </si>
  <si>
    <t>PSS001作成完了_受_601</t>
  </si>
  <si>
    <t>/GFOOT/10_日次/01_HULFT/配信_30_PSS</t>
  </si>
  <si>
    <t>7FFFA601_イベント受信(PSS001作成完了)</t>
  </si>
  <si>
    <t>PSS002作成完了_受_602</t>
  </si>
  <si>
    <t>7FFFA602_イベント受信(PSS002作成完了)</t>
  </si>
  <si>
    <t>PSS003作成完了_受_603</t>
  </si>
  <si>
    <t>7FFFA603_イベント受信(PSS003作成完了)</t>
  </si>
  <si>
    <t>PSS009作成完了_受_609</t>
  </si>
  <si>
    <t>/GFOOT/10_日次/01_HULFT/配信_31_PSS_009</t>
  </si>
  <si>
    <t>7FFFA609_イベント受信(PSS009作成完了)</t>
  </si>
  <si>
    <t>VANSENDH_TV作成完了_受539</t>
  </si>
  <si>
    <t>/GFOOT/10_日次/01_HULFT/配信_32_AEONTopValue向け発注</t>
  </si>
  <si>
    <t>7FFFA539_イベント受信(VANSENDH_TV作成完了) 7:50打ち切り</t>
  </si>
  <si>
    <t>受539_発注データ作成終了</t>
  </si>
  <si>
    <t>/GFOOT/10_日次/01_HULFT/配信_33_ASM向け_発注検収返品デ</t>
  </si>
  <si>
    <t>7FFFA539_VAN_APV_VANSENDH.bat待ち_イベント受信</t>
  </si>
  <si>
    <t>受540_検収・返品データ作成終了</t>
  </si>
  <si>
    <t>7FFFA540_VAN_APV_VANSEND.bat待ち_イベント受信</t>
  </si>
  <si>
    <t>商品ＲＭ更新処理完了_702</t>
  </si>
  <si>
    <t>/GFOOT/10_日次/01_HULFT/配信_34_LOMOS_自動値札貼付</t>
  </si>
  <si>
    <t>7FFFA702_商品ＲＭ更新処理完了　9:00 まで監視</t>
  </si>
  <si>
    <t>発注データ受信_539</t>
  </si>
  <si>
    <t>7FFFA539_イベント受信(発注データ作成) 9:00 まで監視</t>
  </si>
  <si>
    <t>APV-&gt;DWH取込処理終了_7FFFA701</t>
  </si>
  <si>
    <t>/GFOOT/10_日次/01_HULFT/配信_50_AEON_経営DB</t>
  </si>
  <si>
    <t>7FFFA701 APV-&gt;DWH取込処理終了イベント受信</t>
  </si>
  <si>
    <t>店舗売価マスタ更新</t>
  </si>
  <si>
    <t>/GFOOT/10_日次/01_LinkExpress/11_商品マスタ_03_作成送信_売変</t>
  </si>
  <si>
    <t>検収返品作成完了_7FFFA540</t>
  </si>
  <si>
    <t>/GFOOT/10_日次/02_VAN/11_取引先への送信_VAN</t>
  </si>
  <si>
    <t>7FFFA540_検収返品作成完了</t>
  </si>
  <si>
    <t>発注作成完了_7FFFA539</t>
  </si>
  <si>
    <t>7FFFA539_発注作成完了</t>
  </si>
  <si>
    <t>/GFOOT/10_日次/03_EC/001_商品マスタ</t>
  </si>
  <si>
    <t>BOOK売変</t>
  </si>
  <si>
    <t>7FFFA709_10_日次/N0100_01_日次_APVマスタデータ</t>
  </si>
  <si>
    <t>APV発注データ作成完了_7FFFA539</t>
  </si>
  <si>
    <t>/GFOOT/10_日次/03_EC/002_在庫データ</t>
  </si>
  <si>
    <t>7FFFA539</t>
  </si>
  <si>
    <t>/GFOOT/10_日次/03_EC/003_入荷予定データ</t>
  </si>
  <si>
    <t>APVマスタ更新終了</t>
  </si>
  <si>
    <t>/GFOOT/10_日次/03_EC/030_NDAM</t>
  </si>
  <si>
    <t>7FFFA002 イベント受信(APVマスタ更新)</t>
  </si>
  <si>
    <t>店舗売価マスタ更新：703</t>
  </si>
  <si>
    <t>/GFOOT/10_日次/05_棚卸/商品マスタ送信_v2.0</t>
  </si>
  <si>
    <t>7FFFA703_店舗売価マスタ更新処理終了　360分監視</t>
  </si>
  <si>
    <t>消耗品発注作成完了_受_7FFFA511</t>
  </si>
  <si>
    <t>/GFOOT/10_日次/06_消耗品発注/01_発注データコピー</t>
  </si>
  <si>
    <t>7FFFA511</t>
  </si>
  <si>
    <t>受領データ受信_受584</t>
  </si>
  <si>
    <t>/GFOOT/10_日次/08_商品供給/11_商品供給_発注データ受信</t>
  </si>
  <si>
    <t>584_イベント受信(受領データ)</t>
  </si>
  <si>
    <t>発注データ受信_受583</t>
  </si>
  <si>
    <t>583_イベント受信(発注データ)</t>
  </si>
  <si>
    <t>発注データ作成</t>
  </si>
  <si>
    <t>/GFOOT/10_日次/08_商品供給/13_商品供給_発注データ集約</t>
  </si>
  <si>
    <t>7FFFA539_イベント受信(発注データ)</t>
  </si>
  <si>
    <t>イベント受信：7FFFA002</t>
  </si>
  <si>
    <t>/GFOOT/10_日次/08_商品供給/14.商品供給_商品マスタ出力</t>
  </si>
  <si>
    <t>7FFFA002 イベント受信(N370120_ETL完了)J014310I_受574</t>
  </si>
  <si>
    <t>APV-&gt;DWH取込完了_7FFFA701</t>
  </si>
  <si>
    <t>/GFOOT/10_日次/09_取引先/20_NIKE提供データ</t>
  </si>
  <si>
    <t>店舗売価マスタ作成完了</t>
  </si>
  <si>
    <t>7FFFA703_店舗売価マスタ更新処理終了 240分監視</t>
  </si>
  <si>
    <t>NLOG受信後処理_受_706</t>
  </si>
  <si>
    <t>/GFOOT/10_日次/10_DWH/01_NLOG受信後処理_Dr.Sum更新</t>
  </si>
  <si>
    <t>7FFFA706 NLOG受信後処理</t>
  </si>
  <si>
    <t>TS_時間帯別実績更新後_受_707</t>
  </si>
  <si>
    <t>/GFOOT/10_日次/10_DWH/02_売上速報_ver2.0</t>
  </si>
  <si>
    <t>TS_時間帯別実績更新後</t>
  </si>
  <si>
    <t>AP-V取込完了_7FFFA700</t>
  </si>
  <si>
    <t>/GFOOT/10_日次/10_DWH/15_DWH_Dr.Sum更新</t>
  </si>
  <si>
    <t>7FFFA700　9時10分に通知</t>
  </si>
  <si>
    <t>7FFFA539 9時50分に通知</t>
  </si>
  <si>
    <t>発注対象ＣＦ完了</t>
  </si>
  <si>
    <t>7FFFA592　7時50分に通知</t>
  </si>
  <si>
    <t>受299_AUTOMAINOK_DWH更新トリガ</t>
  </si>
  <si>
    <t>/GFOOT/10_日次/10_DWH/16_DWH_NIS関連処理</t>
  </si>
  <si>
    <t>7FFFA299_イベント受信（ID:299） 360⇒480</t>
  </si>
  <si>
    <t>週別店別単品実績更新終了</t>
  </si>
  <si>
    <t>/GFOOT/10_日次/10_DWH/18_DWH_Sim</t>
  </si>
  <si>
    <t>705 本番DWHサマリ作成処理終了(旧705→1705→7FFFA705)</t>
  </si>
  <si>
    <t>/GFOOT/10_日次/10_DWH/21_週別_DrSum_レポート更新</t>
  </si>
  <si>
    <t>7FFFA705 週別店別単品実績の更新完了待ち</t>
  </si>
  <si>
    <t>APVマスタ情報作成完了_7FFFA002</t>
  </si>
  <si>
    <t>/GFOOT/10_日次/10_NAIS/10_NAIS_マスタデータ送信</t>
  </si>
  <si>
    <t>7FFFA002_「APVマスタ情報作成」完了通知受信</t>
  </si>
  <si>
    <t>INTR_D作成完了</t>
  </si>
  <si>
    <t>/GFOOT/10_日次/10_NAIS/11_NAIS_実績データ送信</t>
  </si>
  <si>
    <t>7FFFA556_INTR_D作成完了</t>
  </si>
  <si>
    <t>INTR_T作成完了</t>
  </si>
  <si>
    <t>7FFFA533_INTR_T作成完了</t>
  </si>
  <si>
    <t>PSS004作成完了_7FFFA614</t>
  </si>
  <si>
    <t>7FFFA614_PSS004作成完了</t>
  </si>
  <si>
    <t>SKIREMEI_作成完了</t>
  </si>
  <si>
    <t>7FFFA615_SKIREMEI_作成完了</t>
  </si>
  <si>
    <t>ECデータ受信処理完了通知</t>
  </si>
  <si>
    <t>/GFOOT/10_日次/20_会計関連/10.SSAdOn_売上データ取込</t>
  </si>
  <si>
    <t xml:space="preserve"> 将来的にイベント受信で起動する</t>
  </si>
  <si>
    <t>受_771_ADPS会計データ作成完了</t>
  </si>
  <si>
    <t>/GFOOT/10_日次/20_会計関連/40.楽楽精算向け_データ連携</t>
  </si>
  <si>
    <t>7FFFA771_ADPS会計データ作成完了</t>
  </si>
  <si>
    <t>社員現職情報更新完了</t>
  </si>
  <si>
    <t>/GFOOT/10_日次/30_人事関連/03_社員・組織情報作成</t>
  </si>
  <si>
    <t>7FFFA770 ADPSデータLoad_V2の完了を監視</t>
  </si>
  <si>
    <t>JINJI共通マスタ作成完了</t>
  </si>
  <si>
    <t>/GFOOT/10_日次/30_人事関連/04_AD連携</t>
  </si>
  <si>
    <t>7FFFA771 JINJI共通マスタ作成完了</t>
  </si>
  <si>
    <t>/GFOOT/10_日次/30_人事関連/04_AgileWorks連携</t>
  </si>
  <si>
    <t>受_771_ADPS人事データ作成完了</t>
  </si>
  <si>
    <t>/GFOOT/10_日次/30_人事関連/04_GULF連携</t>
  </si>
  <si>
    <t>7FFFA771_ADPS人事データ作成完了</t>
  </si>
  <si>
    <t>/GFOOT/10_日次/31_店舗/01_自動売変</t>
  </si>
  <si>
    <t>7FFFA539 8:00に打ち切り</t>
  </si>
  <si>
    <t>店舗売価マスタ更新_7FFFA703</t>
  </si>
  <si>
    <t>7FFFA703 8:00に打ち切り</t>
  </si>
  <si>
    <t>7FFFA593_MD計画データ作成完了</t>
  </si>
  <si>
    <t>/GFOOT/10_日次/50_商品関連/21_MD計画_APV連携データ受信</t>
  </si>
  <si>
    <t>7FFFA593_24時～</t>
  </si>
  <si>
    <t>イベント受信7FFFA574</t>
  </si>
  <si>
    <t>/GFOOT/10_日次/51_POPシステム/01_商品マスタ送信_単品POP</t>
  </si>
  <si>
    <t>7FFFA002_商品ＣＦ出力完了</t>
  </si>
  <si>
    <t>受701_APV-DWH取込処理終了</t>
  </si>
  <si>
    <t>/GFOOT/10_日次/60_予算関連/10.日割予算_実績データ作成</t>
  </si>
  <si>
    <t>7FFFA701_APV-&gt;DWH取込処理終了イベント受信</t>
  </si>
  <si>
    <t>N0100_01_日次_APVマスタ出力_終</t>
  </si>
  <si>
    <t>/GFOOT/10_日次/N0100_02_日次</t>
  </si>
  <si>
    <t>7FFFA002</t>
  </si>
  <si>
    <t>受信確認_7FFFA003</t>
  </si>
  <si>
    <t>/GFOOT/10_日次/N0100_02_日次/受信_売上・店舗BO・WEB申請/AEONコンセ</t>
  </si>
  <si>
    <t>7FFFA003_HULFTサーバでファイル受信後のイベント受信 25:00まで監視</t>
  </si>
  <si>
    <t>AgileWorks_データ連携完了</t>
  </si>
  <si>
    <t>/GFOOT/10_日次/N0100_02_日次/受信_売上・店舗BO・WEB申請</t>
  </si>
  <si>
    <t>7FFFA500 AgileWorks_データ連携完了</t>
  </si>
  <si>
    <t>EC_COM受信完了_7FFFA501</t>
  </si>
  <si>
    <t>/GFOOT/10_日次/N0100_02_日次/受信_売上・店舗BO・WEB申請/EC</t>
  </si>
  <si>
    <t>7FFFA501_EC_COM受信完了 GFIF.TW_EC_COM</t>
  </si>
  <si>
    <t>発注停止再開_受信_7FFFB501</t>
  </si>
  <si>
    <t>7FFFB501_PSS004受信後にDB登録後受信</t>
  </si>
  <si>
    <t>ANPLU_作成完了_7FFFA512</t>
  </si>
  <si>
    <t>/GFOOT/10_日次/N2910_日次監視</t>
  </si>
  <si>
    <t>7FFFA512_22時～24時30分__10_日次/01_HULFT/配信_11_AEON_商品マスタ</t>
  </si>
  <si>
    <t>ANPLU_作成完了_7FFFA513</t>
  </si>
  <si>
    <t>7FFFA513_22時～25時15分__10_日次/01_HULFT/配信_11_AEON_商品マスタ</t>
  </si>
  <si>
    <t>APV_CFテーブル更新_終了</t>
  </si>
  <si>
    <t>7FFFA999 APV_CFテーブル更新終了イベント受信</t>
  </si>
  <si>
    <t>ASM発注検収返品データ_7FFFA710</t>
  </si>
  <si>
    <t>7FFFA710_22時～07時＿10_日次/01_HULFT/配信_33_ASM向け_発注検収返品デ</t>
  </si>
  <si>
    <t>AgileWorks⇒DWH連携_7FFFA500</t>
  </si>
  <si>
    <t>7FFFA299_22時～24時__</t>
  </si>
  <si>
    <t>NAIS日次処理終了_7FFFA299</t>
  </si>
  <si>
    <t>7FFFA299_22時～05時__</t>
  </si>
  <si>
    <t>東西LC送信作成完了_7FFFA6000</t>
  </si>
  <si>
    <t>7FFFA600_22時～04時__10_日次/N0100_02_日次/東西LC向けデータ作成</t>
  </si>
  <si>
    <t>日次ジョブ開始イベント_001</t>
  </si>
  <si>
    <t>7FFFA002_22時～24時__</t>
  </si>
  <si>
    <t>日次処理_APV事前処理_7FFFA700</t>
  </si>
  <si>
    <t>7FFFA700_22時～02時__</t>
  </si>
  <si>
    <t>発注処理開始通知_7FFFA570</t>
  </si>
  <si>
    <t>7FFFA570_22時～05時__10_日次/N0100_02_日次/APV_発注エラー</t>
  </si>
  <si>
    <t>発注対象ＣＦ完了通知_7FFFA592</t>
  </si>
  <si>
    <t>7FFFA592_22時～04時__</t>
  </si>
  <si>
    <t>J014010I_受564</t>
  </si>
  <si>
    <t>/GFOOT/10_日次/N4010_JP1LOG</t>
  </si>
  <si>
    <t>7FFFA564 イベント受信(N300110_終了監視完了)★仮840待って正常終了</t>
  </si>
  <si>
    <t>#</t>
  </si>
  <si>
    <t>(参考)イベント送信待ち</t>
    <phoneticPr fontId="1"/>
  </si>
  <si>
    <t>送711_AEON_HHT処理完了イベント</t>
  </si>
  <si>
    <t>/GFOOT/10_日次/01_HULFT/集信_01_AEON_HHT_v3/Dr.Sum更新</t>
  </si>
  <si>
    <t>7FFFA711 AEON_HHT処理完了イベント</t>
  </si>
  <si>
    <t>JP1イベント送信</t>
  </si>
  <si>
    <t>TS_時間帯別客数更新_送_707</t>
  </si>
  <si>
    <t>/GFOOT/10_日次/01_HULFT/集信_03_AEON_客数_v2</t>
  </si>
  <si>
    <t>7FFFA707 時間帯別売上速報作成ジョブへの連携</t>
  </si>
  <si>
    <t>/GFOOT/10_日次/01_HULFT/集信_05_共通POS_POS売上_NLOG</t>
  </si>
  <si>
    <t>7FFFA706</t>
  </si>
  <si>
    <t>AEON単品売上データ連携終了</t>
  </si>
  <si>
    <t>/GFOOT/10_日次/01_HULFT/集信_06_イオンコンセ_単品売上/終了イベント送信_7FFFA003</t>
  </si>
  <si>
    <t>7FFFA003 AEON単品売上データ連携終了</t>
  </si>
  <si>
    <t>取引先在庫_PSS投入_送_7FFFB501</t>
  </si>
  <si>
    <t>/GFOOT/10_日次/01_HULFT/集信_31_PSS_004</t>
  </si>
  <si>
    <t>7FFFB501 日次処理にてイベントを受信</t>
  </si>
  <si>
    <t>7FFFA512_AEON_商品マスタ送信完了_ANPLU</t>
  </si>
  <si>
    <t>ANPLU_送信完了_7FFFA513</t>
  </si>
  <si>
    <t>7FFFA513_AEON_商品マスタ送信完了</t>
  </si>
  <si>
    <t>送710_ASMVAHSEND_HULFT</t>
  </si>
  <si>
    <t>7FFFA710 送信完了イベント</t>
  </si>
  <si>
    <t>/GFOOT/10_日次/03_EC/020_EC_データ受信</t>
  </si>
  <si>
    <t>7FFFA501 EC_comデータ受信完了</t>
  </si>
  <si>
    <t>/GFOOT/10_日次/05_棚卸/棚卸データ受信_v2.0</t>
  </si>
  <si>
    <t>7FFFA533 INTR_T作成完了</t>
  </si>
  <si>
    <t>発注データ受信_送583</t>
  </si>
  <si>
    <t>/GFOOT/10_日次/08_商品供給/11_商品供給_発注データ受信/BMSHAC受信リトライ</t>
  </si>
  <si>
    <t>583 17時リトライ完了</t>
  </si>
  <si>
    <t>受領データ受信_送584</t>
  </si>
  <si>
    <t>/GFOOT/10_日次/08_商品供給/11_商品供給_発注データ受信/BMSJYU受信リトライ</t>
  </si>
  <si>
    <t>584 17時リトライ完了</t>
  </si>
  <si>
    <t>584 ファイルサイズが0以外</t>
  </si>
  <si>
    <t>583 ファイルサイズが0以外</t>
  </si>
  <si>
    <t>7FFFA707 TS_時間帯別客数更新_送_7FFFA707</t>
  </si>
  <si>
    <t>商品マスタ更新完了7FFFA702</t>
  </si>
  <si>
    <t>/GFOOT/10_日次/10_DWH/10_マスタ更新</t>
  </si>
  <si>
    <t>7FFFA702 イベント送信(商品マスタ更新処理完了)</t>
  </si>
  <si>
    <t>店舗売価マスタ_BO転送_完了</t>
  </si>
  <si>
    <t>/GFOOT/10_日次/10_DWH/12_店舗売価マスタ更新_BO転入</t>
  </si>
  <si>
    <t>7FFFA708 店舗売価マスタ_BO転送_完了</t>
  </si>
  <si>
    <t>7FFFA705 /20_週次/EXCELデータ作成/W03_データ作成 にて使用</t>
  </si>
  <si>
    <t>送1701_APV-&gt;ADW取込終了</t>
  </si>
  <si>
    <t>7FFFA701 APV-&gt;DWH取込処理終了イベント送信</t>
  </si>
  <si>
    <t>送703_店舗売価マスタ更新処理</t>
  </si>
  <si>
    <t>7FFFA703_店舗売価マスタ更新処理終了</t>
  </si>
  <si>
    <t>/GFOOT/10_日次/30_人事関連/02_ADPSデータLoad_ADW_V2</t>
  </si>
  <si>
    <t>7FFFA770 社員現職情報更新完了</t>
  </si>
  <si>
    <t>JP1イベント送信_7FFFA709</t>
  </si>
  <si>
    <t>7FFFA709 売変データ更新完了</t>
  </si>
  <si>
    <t>イベント送信_HULFT送信</t>
  </si>
  <si>
    <t>/GFOOT/10_日次/31_店舗/03_自動売変_商品マスタ事前確認</t>
  </si>
  <si>
    <t>7FFFA710 イベント送信_HULFT送信</t>
  </si>
  <si>
    <t>AgileWorks-&gt;DWHコピー_更新完了</t>
  </si>
  <si>
    <t>/GFOOT/10_日次/70_WorkFlow/10_返品・事故伝・実在庫訂正</t>
  </si>
  <si>
    <t>7FFFA500 受信_売上・店舗BO・WEB申請先行ジョブ</t>
  </si>
  <si>
    <t>新JP1イベント送信_002</t>
  </si>
  <si>
    <t>/GFOOT/10_日次/N0100_01_日次_APVマスタデータ</t>
  </si>
  <si>
    <t>7FFFA001 イベント送信 APVマスタ情報作成開始</t>
  </si>
  <si>
    <t>7FFFA999 APV_CFテーブル更新終了イベント送信</t>
  </si>
  <si>
    <t>イベント送信_7FFFA570</t>
  </si>
  <si>
    <t>/GFOOT/10_日次/N0100_02_日次/APV_発注発注エラー</t>
  </si>
  <si>
    <t>7FFFA570 発注処理開始を通知_イベント送信</t>
  </si>
  <si>
    <t>APV取込終了イベント_受信_700</t>
  </si>
  <si>
    <t>7FFFA700 DWH処理開始用_受信</t>
  </si>
  <si>
    <t>7FFFA556</t>
  </si>
  <si>
    <t>VANSENDH_作成完了_7FFFA539</t>
  </si>
  <si>
    <t>イベント送信_7FFFA592</t>
  </si>
  <si>
    <t>7FFFA592 イベント送信(発注対象ＣＦ完了)</t>
  </si>
  <si>
    <t>イベント送信_7FFFA593</t>
  </si>
  <si>
    <t>7FFFA593 イベント送信(MD計画向けデータ作成完了)</t>
  </si>
  <si>
    <t>日報データ出力_7FFFC622</t>
  </si>
  <si>
    <t>/GFOOT/10_日次/N0100_02_日次/受信_売上・店舗BO・WEB申請/NLOG</t>
  </si>
  <si>
    <t>7FFFC622</t>
  </si>
  <si>
    <t>消耗品発注_作成完了_7FFFA511</t>
  </si>
  <si>
    <t>/GFOOT/10_日次/N0100_02_日次/消耗品発注データ作成</t>
  </si>
  <si>
    <t>東西LCデータ作成完了_7FFFA600</t>
  </si>
  <si>
    <t>7FFFA600</t>
  </si>
  <si>
    <t>PSS001_作成完了_7FFFA601</t>
  </si>
  <si>
    <t>/GFOOT/10_日次/N0100_02_日次/東西LC向けデータ作成</t>
  </si>
  <si>
    <t>7FFFA601 PSS001_作成完了</t>
  </si>
  <si>
    <t>PSS002_作成完了_7FFFA602</t>
  </si>
  <si>
    <t>7FFFA602 PSS002_作成完了</t>
  </si>
  <si>
    <t>PSS003_作成完了_7FFFA603</t>
  </si>
  <si>
    <t>7FFFA603 PSS003_作成完了</t>
  </si>
  <si>
    <t>PSS009_作成完了_7FFFA609</t>
  </si>
  <si>
    <t>7FFFA609 PSS009_作成完了</t>
  </si>
  <si>
    <t>PSS004_作成完了_7FFFA614</t>
  </si>
  <si>
    <t>/GFOOT/10_日次/N0100_02_日次/物流受信処理</t>
  </si>
  <si>
    <t>7FFFA614 NAISへの送信処理に連携</t>
  </si>
  <si>
    <t>SKIREMEI_作成完了_7FFFA615</t>
  </si>
  <si>
    <t>7FFFA615 NAISへの送信処理に連携</t>
  </si>
  <si>
    <t>VANSENDKB_作成完了_540</t>
  </si>
  <si>
    <t>7FFFA540 イベント送信(VAN_APV_VANSEND_KB_完了)</t>
  </si>
  <si>
    <t>APV_NORTHDCS完了_送_7FFFA549</t>
  </si>
  <si>
    <t>/GFOOT/10_日次/N0100_02_日次/北海道LC向けデータ作成</t>
  </si>
  <si>
    <t>7FFFA549 イベント送信(DC__APV_NORTHDCS完了)</t>
  </si>
  <si>
    <t>/GFOOT/10_日次/N3010_NAIS監視</t>
  </si>
  <si>
    <t>7FFFA299_NAIS処理終了</t>
  </si>
  <si>
    <t>7FFFA707</t>
  </si>
  <si>
    <t>7FFFA003</t>
  </si>
  <si>
    <t>7FFFB501</t>
  </si>
  <si>
    <t>7FFFA512</t>
  </si>
  <si>
    <t>7FFFA513</t>
  </si>
  <si>
    <t>7FFFA710</t>
  </si>
  <si>
    <t>7FFFA501</t>
  </si>
  <si>
    <t>7FFFA533</t>
  </si>
  <si>
    <t>7FFFA702</t>
  </si>
  <si>
    <t>7FFFA708</t>
  </si>
  <si>
    <t>7FFFA705</t>
  </si>
  <si>
    <t>7FFFA701</t>
  </si>
  <si>
    <t>7FFFA703</t>
  </si>
  <si>
    <t>7FFFA770</t>
  </si>
  <si>
    <t>7FFFA771</t>
  </si>
  <si>
    <t>7FFFA709</t>
  </si>
  <si>
    <t>7FFFA500</t>
  </si>
  <si>
    <t>7FFFA001</t>
  </si>
  <si>
    <t>7FFFA999</t>
  </si>
  <si>
    <t>7FFFA570</t>
  </si>
  <si>
    <t>7FFFA700</t>
  </si>
  <si>
    <t>7FFFA592</t>
  </si>
  <si>
    <t>7FFFA593</t>
  </si>
  <si>
    <t>7FFFA601</t>
  </si>
  <si>
    <t>7FFFA602</t>
  </si>
  <si>
    <t>7FFFA603</t>
  </si>
  <si>
    <t>7FFFA609</t>
  </si>
  <si>
    <t>7FFFA614</t>
  </si>
  <si>
    <t>7FFFA615</t>
  </si>
  <si>
    <t>7FFFA540</t>
  </si>
  <si>
    <t>7FFFA549</t>
  </si>
  <si>
    <t>7FFFA299</t>
  </si>
  <si>
    <t>イベントID</t>
    <phoneticPr fontId="1"/>
  </si>
  <si>
    <t>7FFFA564</t>
  </si>
  <si>
    <t>TS</t>
    <phoneticPr fontId="1"/>
  </si>
  <si>
    <t xml:space="preserve"> </t>
    <phoneticPr fontId="1"/>
  </si>
  <si>
    <t>No</t>
    <phoneticPr fontId="1"/>
  </si>
  <si>
    <t>イベント受信待ち</t>
    <phoneticPr fontId="1"/>
  </si>
  <si>
    <t>7FFFA711</t>
    <phoneticPr fontId="1"/>
  </si>
  <si>
    <t>NLOG取込完了イベント_送_706</t>
    <phoneticPr fontId="1"/>
  </si>
  <si>
    <t>備考</t>
    <rPh sb="0" eb="2">
      <t>ビコウ</t>
    </rPh>
    <phoneticPr fontId="1"/>
  </si>
  <si>
    <t>ユニット数</t>
    <rPh sb="4" eb="5">
      <t>スウ</t>
    </rPh>
    <phoneticPr fontId="1"/>
  </si>
  <si>
    <t>ETL、JobServerは分離した構成とする</t>
    <rPh sb="14" eb="16">
      <t>ブンリ</t>
    </rPh>
    <rPh sb="18" eb="20">
      <t>コウセイ</t>
    </rPh>
    <phoneticPr fontId="1"/>
  </si>
  <si>
    <t>プログラムの修正は発生しない想定</t>
    <rPh sb="6" eb="8">
      <t>シュウセイ</t>
    </rPh>
    <rPh sb="9" eb="11">
      <t>ハッセイ</t>
    </rPh>
    <rPh sb="14" eb="16">
      <t>ソウテイ</t>
    </rPh>
    <phoneticPr fontId="1"/>
  </si>
  <si>
    <t>JobServer2から各システムへの疎通テストを実施（DNS切替前）</t>
    <rPh sb="12" eb="13">
      <t>カク</t>
    </rPh>
    <rPh sb="19" eb="21">
      <t>ソツウ</t>
    </rPh>
    <rPh sb="25" eb="27">
      <t>ジッシ</t>
    </rPh>
    <rPh sb="31" eb="33">
      <t>キリカエ</t>
    </rPh>
    <rPh sb="33" eb="34">
      <t>マエ</t>
    </rPh>
    <phoneticPr fontId="1"/>
  </si>
  <si>
    <t>JobServer2から各システムへの疎通テストを実施（DNS切替後）</t>
    <rPh sb="12" eb="13">
      <t>カク</t>
    </rPh>
    <rPh sb="19" eb="21">
      <t>ソツウ</t>
    </rPh>
    <rPh sb="25" eb="27">
      <t>ジッシ</t>
    </rPh>
    <rPh sb="31" eb="33">
      <t>キリカエ</t>
    </rPh>
    <rPh sb="33" eb="34">
      <t>アト</t>
    </rPh>
    <phoneticPr fontId="1"/>
  </si>
  <si>
    <t>新JP1のジョブスケジュールの動作確認（初回立ち合い）</t>
    <rPh sb="0" eb="1">
      <t>シン</t>
    </rPh>
    <rPh sb="15" eb="17">
      <t>ドウサ</t>
    </rPh>
    <rPh sb="17" eb="19">
      <t>カクニン</t>
    </rPh>
    <rPh sb="20" eb="22">
      <t>ショカイ</t>
    </rPh>
    <rPh sb="22" eb="23">
      <t>タ</t>
    </rPh>
    <rPh sb="24" eb="25">
      <t>ア</t>
    </rPh>
    <phoneticPr fontId="1"/>
  </si>
  <si>
    <t>タスク</t>
    <phoneticPr fontId="1"/>
  </si>
  <si>
    <t>切替判定</t>
    <rPh sb="0" eb="2">
      <t>キリカエ</t>
    </rPh>
    <rPh sb="2" eb="4">
      <t>ハンテイ</t>
    </rPh>
    <phoneticPr fontId="1"/>
  </si>
  <si>
    <t>ETL/Dr.SUMチーム＋運用メンバーにて実施</t>
    <rPh sb="14" eb="16">
      <t>ウンヨウ</t>
    </rPh>
    <rPh sb="22" eb="24">
      <t>ジッシ</t>
    </rPh>
    <phoneticPr fontId="1"/>
  </si>
  <si>
    <t>既存ジョブの停止</t>
    <rPh sb="0" eb="2">
      <t>キゾン</t>
    </rPh>
    <rPh sb="6" eb="8">
      <t>テイシ</t>
    </rPh>
    <phoneticPr fontId="1"/>
  </si>
  <si>
    <t>新ジョブの開始設定</t>
    <rPh sb="0" eb="1">
      <t>シン</t>
    </rPh>
    <rPh sb="5" eb="7">
      <t>カイシ</t>
    </rPh>
    <rPh sb="7" eb="9">
      <t>セッテイ</t>
    </rPh>
    <phoneticPr fontId="1"/>
  </si>
  <si>
    <t>新サーバー(Manager)より旧サーバー(Agent)へ接続が可能な事</t>
    <rPh sb="0" eb="1">
      <t>シン</t>
    </rPh>
    <rPh sb="16" eb="17">
      <t>キュウ</t>
    </rPh>
    <rPh sb="29" eb="31">
      <t>セツゾク</t>
    </rPh>
    <rPh sb="32" eb="34">
      <t>カノウ</t>
    </rPh>
    <rPh sb="35" eb="36">
      <t>コト</t>
    </rPh>
    <phoneticPr fontId="1"/>
  </si>
  <si>
    <t>JP1Agent 切替方針</t>
    <phoneticPr fontId="1"/>
  </si>
  <si>
    <t>監視（Zabbix）設定が完了していること</t>
    <rPh sb="10" eb="12">
      <t>セッテイ</t>
    </rPh>
    <rPh sb="13" eb="15">
      <t>カンリョウ</t>
    </rPh>
    <phoneticPr fontId="1"/>
  </si>
  <si>
    <t>現行JobServer(Ver:12-10)からジョブ、バッチプログラムの移行</t>
    <rPh sb="0" eb="2">
      <t>ゲンコウ</t>
    </rPh>
    <rPh sb="37" eb="39">
      <t>イコウ</t>
    </rPh>
    <phoneticPr fontId="1"/>
  </si>
  <si>
    <t>JobServer2へJP1 Managerのインストール(Ver:13-50-04)</t>
    <phoneticPr fontId="1"/>
  </si>
  <si>
    <t>①ジョブネット内で１つのエージェントサーバをCALLしているもの</t>
    <phoneticPr fontId="1"/>
  </si>
  <si>
    <t>②ジョブネット内で複数のエージェントサーバをCALLしているもの（難易度：中）</t>
    <phoneticPr fontId="1"/>
  </si>
  <si>
    <t>③ジョブネット内で複数のエージェントサーバをCALLしているもの（難易度：高）</t>
    <phoneticPr fontId="1"/>
  </si>
  <si>
    <t>※1</t>
    <phoneticPr fontId="1"/>
  </si>
  <si>
    <t>現行JP1のジョブスケジュールの停止 ※1</t>
    <rPh sb="0" eb="2">
      <t>ゲンコウ</t>
    </rPh>
    <rPh sb="16" eb="18">
      <t>テイシ</t>
    </rPh>
    <phoneticPr fontId="1"/>
  </si>
  <si>
    <t>新JP1のジョブスケジュールの開始 ※1</t>
    <rPh sb="0" eb="1">
      <t>シン</t>
    </rPh>
    <rPh sb="15" eb="17">
      <t>カイシ</t>
    </rPh>
    <phoneticPr fontId="1"/>
  </si>
  <si>
    <t>性質ごとに以下の3種類に区分けし、その単位で切替（現行停止、新規開始）を実施する。</t>
    <rPh sb="0" eb="2">
      <t>セイシツ</t>
    </rPh>
    <rPh sb="5" eb="7">
      <t>イカ</t>
    </rPh>
    <rPh sb="9" eb="11">
      <t>シュルイ</t>
    </rPh>
    <rPh sb="12" eb="14">
      <t>クワ</t>
    </rPh>
    <rPh sb="19" eb="21">
      <t>タンイ</t>
    </rPh>
    <rPh sb="22" eb="24">
      <t>キリカエ</t>
    </rPh>
    <rPh sb="25" eb="27">
      <t>ゲンコウ</t>
    </rPh>
    <rPh sb="27" eb="29">
      <t>テイシ</t>
    </rPh>
    <rPh sb="30" eb="32">
      <t>シンキ</t>
    </rPh>
    <rPh sb="32" eb="34">
      <t>カイシ</t>
    </rPh>
    <rPh sb="36" eb="38">
      <t>ジッシ</t>
    </rPh>
    <phoneticPr fontId="1"/>
  </si>
  <si>
    <t>問題の切り分け</t>
    <rPh sb="0" eb="2">
      <t>モンダイ</t>
    </rPh>
    <rPh sb="3" eb="4">
      <t>キ</t>
    </rPh>
    <rPh sb="5" eb="6">
      <t>ワ</t>
    </rPh>
    <phoneticPr fontId="1"/>
  </si>
  <si>
    <t>問題の解消</t>
    <rPh sb="0" eb="2">
      <t>モンダイ</t>
    </rPh>
    <rPh sb="3" eb="5">
      <t>カイショウ</t>
    </rPh>
    <phoneticPr fontId="1"/>
  </si>
  <si>
    <t>ジョブの再実行（手動）</t>
    <rPh sb="4" eb="7">
      <t>サイジッコウ</t>
    </rPh>
    <rPh sb="8" eb="10">
      <t>シュドウ</t>
    </rPh>
    <phoneticPr fontId="1"/>
  </si>
  <si>
    <t>新ジョブのスケジュール停止</t>
    <rPh sb="0" eb="1">
      <t>シン</t>
    </rPh>
    <rPh sb="11" eb="13">
      <t>テイシ</t>
    </rPh>
    <phoneticPr fontId="1"/>
  </si>
  <si>
    <t>現行ジョブのスケジュール再開</t>
    <rPh sb="0" eb="2">
      <t>ゲンコウ</t>
    </rPh>
    <rPh sb="12" eb="14">
      <t>サイカイ</t>
    </rPh>
    <phoneticPr fontId="1"/>
  </si>
  <si>
    <t>現状ジョブの再実行（手動）</t>
    <rPh sb="0" eb="2">
      <t>ゲンジョウ</t>
    </rPh>
    <rPh sb="6" eb="9">
      <t>サイジッコウ</t>
    </rPh>
    <rPh sb="10" eb="12">
      <t>シュドウ</t>
    </rPh>
    <phoneticPr fontId="1"/>
  </si>
  <si>
    <t>パターン❶ 再実行で影響が無い（即時性を求められないもの）</t>
    <rPh sb="6" eb="9">
      <t>サイジッコウ</t>
    </rPh>
    <rPh sb="10" eb="12">
      <t>エイキョウ</t>
    </rPh>
    <rPh sb="13" eb="14">
      <t>ナ</t>
    </rPh>
    <phoneticPr fontId="1"/>
  </si>
  <si>
    <t>パターン❷ 再実行で影響が無い（即時性を求められるもの）</t>
    <rPh sb="16" eb="18">
      <t>ソクジ</t>
    </rPh>
    <rPh sb="18" eb="19">
      <t>セイ</t>
    </rPh>
    <rPh sb="20" eb="21">
      <t>モト</t>
    </rPh>
    <phoneticPr fontId="1"/>
  </si>
  <si>
    <t>パターン❸ 再実行で問題が有る</t>
    <rPh sb="6" eb="9">
      <t>サイジッコウ</t>
    </rPh>
    <rPh sb="10" eb="12">
      <t>モンダイ</t>
    </rPh>
    <rPh sb="13" eb="14">
      <t>ア</t>
    </rPh>
    <phoneticPr fontId="1"/>
  </si>
  <si>
    <t>日程再調整（原則、次回切替タイミングで再実施）</t>
    <rPh sb="0" eb="5">
      <t>ニッテイサイチョウセイ</t>
    </rPh>
    <rPh sb="6" eb="8">
      <t>ゲンソク</t>
    </rPh>
    <rPh sb="11" eb="13">
      <t>キリカエ</t>
    </rPh>
    <phoneticPr fontId="1"/>
  </si>
  <si>
    <t>ETL/Dr.SUM担当</t>
    <rPh sb="10" eb="12">
      <t>タントウ</t>
    </rPh>
    <phoneticPr fontId="1"/>
  </si>
  <si>
    <t>運用T担当</t>
    <rPh sb="0" eb="2">
      <t>ウンヨウ</t>
    </rPh>
    <rPh sb="3" eb="5">
      <t>タントウ</t>
    </rPh>
    <phoneticPr fontId="1"/>
  </si>
  <si>
    <t>リカバリ対応実施</t>
    <rPh sb="4" eb="6">
      <t>タイオウ</t>
    </rPh>
    <rPh sb="6" eb="8">
      <t>ジッシ</t>
    </rPh>
    <phoneticPr fontId="1"/>
  </si>
  <si>
    <t>対応の流れ</t>
    <rPh sb="0" eb="2">
      <t>タイオウ</t>
    </rPh>
    <rPh sb="3" eb="4">
      <t>ナガ</t>
    </rPh>
    <phoneticPr fontId="1"/>
  </si>
  <si>
    <t>対応主担当</t>
    <rPh sb="0" eb="2">
      <t>タイオウ</t>
    </rPh>
    <rPh sb="2" eb="5">
      <t>シュタントウ</t>
    </rPh>
    <phoneticPr fontId="1"/>
  </si>
  <si>
    <t>問題発生時に再実行の可否、即時性の有無に応じて以下対応を行う。</t>
    <rPh sb="0" eb="2">
      <t>モンダイ</t>
    </rPh>
    <rPh sb="2" eb="5">
      <t>ハッセイジ</t>
    </rPh>
    <rPh sb="6" eb="9">
      <t>サイジッコウ</t>
    </rPh>
    <rPh sb="10" eb="12">
      <t>カヒ</t>
    </rPh>
    <rPh sb="13" eb="16">
      <t>ソクジセイ</t>
    </rPh>
    <rPh sb="17" eb="19">
      <t>ウム</t>
    </rPh>
    <rPh sb="20" eb="21">
      <t>オウ</t>
    </rPh>
    <rPh sb="23" eb="25">
      <t>イカ</t>
    </rPh>
    <rPh sb="25" eb="27">
      <t>タイオウ</t>
    </rPh>
    <rPh sb="28" eb="29">
      <t>オコナ</t>
    </rPh>
    <phoneticPr fontId="1"/>
  </si>
  <si>
    <t>２．リカバリ（切り戻し）方針</t>
    <rPh sb="12" eb="14">
      <t>ホウシン</t>
    </rPh>
    <phoneticPr fontId="1"/>
  </si>
  <si>
    <t>１．動作確認の方針</t>
    <rPh sb="2" eb="4">
      <t>ドウサ</t>
    </rPh>
    <rPh sb="4" eb="6">
      <t>カクニン</t>
    </rPh>
    <rPh sb="7" eb="9">
      <t>ホウシン</t>
    </rPh>
    <phoneticPr fontId="1"/>
  </si>
  <si>
    <t>ジョブの切替後、新サーバーでのジョブ実行結果を以下観点にて確認を行う。</t>
    <rPh sb="4" eb="6">
      <t>キリカエ</t>
    </rPh>
    <rPh sb="6" eb="7">
      <t>アト</t>
    </rPh>
    <rPh sb="8" eb="9">
      <t>シン</t>
    </rPh>
    <rPh sb="18" eb="20">
      <t>ジッコウ</t>
    </rPh>
    <rPh sb="20" eb="22">
      <t>ケッカ</t>
    </rPh>
    <rPh sb="23" eb="27">
      <t>イカカンテン</t>
    </rPh>
    <rPh sb="29" eb="31">
      <t>カクニン</t>
    </rPh>
    <rPh sb="32" eb="33">
      <t>オコナ</t>
    </rPh>
    <phoneticPr fontId="1"/>
  </si>
  <si>
    <t>観点</t>
    <rPh sb="0" eb="2">
      <t>カンテン</t>
    </rPh>
    <phoneticPr fontId="1"/>
  </si>
  <si>
    <t>該当システムのバッチログを確認し、異常が出力されていない事</t>
    <rPh sb="0" eb="2">
      <t>ガイトウ</t>
    </rPh>
    <rPh sb="13" eb="15">
      <t>カクニン</t>
    </rPh>
    <rPh sb="17" eb="19">
      <t>イジョウ</t>
    </rPh>
    <rPh sb="20" eb="22">
      <t>シュツリョク</t>
    </rPh>
    <rPh sb="28" eb="29">
      <t>コト</t>
    </rPh>
    <phoneticPr fontId="1"/>
  </si>
  <si>
    <t>運用チームの担当者にてダブルチェック</t>
    <rPh sb="0" eb="2">
      <t>ウンヨウ</t>
    </rPh>
    <rPh sb="6" eb="9">
      <t>タントウシャ</t>
    </rPh>
    <phoneticPr fontId="1"/>
  </si>
  <si>
    <t>監視（Zabbix）が機能しておりメール、Slackへの通知が行われる事
(即時の場合、WebSAM経由で電話通報ができること)</t>
    <rPh sb="0" eb="2">
      <t>カンシ</t>
    </rPh>
    <rPh sb="11" eb="13">
      <t>キノウ</t>
    </rPh>
    <rPh sb="31" eb="32">
      <t>オコナ</t>
    </rPh>
    <rPh sb="35" eb="36">
      <t>コト</t>
    </rPh>
    <phoneticPr fontId="1"/>
  </si>
  <si>
    <t>前提条件</t>
    <rPh sb="0" eb="4">
      <t>ゼンテイジョウケン</t>
    </rPh>
    <phoneticPr fontId="1"/>
  </si>
  <si>
    <t>監視（Zabbix）設定が完了している事</t>
    <rPh sb="0" eb="2">
      <t>カンシ</t>
    </rPh>
    <rPh sb="10" eb="12">
      <t>セッテイ</t>
    </rPh>
    <rPh sb="13" eb="15">
      <t>カンリョウ</t>
    </rPh>
    <rPh sb="19" eb="20">
      <t>コト</t>
    </rPh>
    <phoneticPr fontId="1"/>
  </si>
  <si>
    <t>すべてのジョブが移行済みで、スケジュールの設定が正しい状態になっている事</t>
    <rPh sb="8" eb="10">
      <t>イコウ</t>
    </rPh>
    <rPh sb="10" eb="11">
      <t>ズ</t>
    </rPh>
    <rPh sb="21" eb="23">
      <t>セッテイ</t>
    </rPh>
    <rPh sb="24" eb="25">
      <t>タダ</t>
    </rPh>
    <rPh sb="27" eb="29">
      <t>ジョウタイ</t>
    </rPh>
    <rPh sb="35" eb="36">
      <t>コト</t>
    </rPh>
    <phoneticPr fontId="1"/>
  </si>
  <si>
    <t>各Agentサーバと疎通確認が完了している事</t>
    <rPh sb="0" eb="1">
      <t>カク</t>
    </rPh>
    <rPh sb="10" eb="12">
      <t>ソツウ</t>
    </rPh>
    <rPh sb="12" eb="14">
      <t>カクニン</t>
    </rPh>
    <rPh sb="15" eb="17">
      <t>カンリョウ</t>
    </rPh>
    <rPh sb="21" eb="22">
      <t>コト</t>
    </rPh>
    <phoneticPr fontId="1"/>
  </si>
  <si>
    <t>・</t>
    <phoneticPr fontId="1"/>
  </si>
  <si>
    <t>動作確認の観点と切り戻し</t>
    <rPh sb="0" eb="4">
      <t>ドウサカクニン</t>
    </rPh>
    <phoneticPr fontId="1"/>
  </si>
  <si>
    <t>ステータス監視画面での結果が正常終了であること
(異常検出完了の場合は理由を確認しスルーしてよい異常かを確認できること)</t>
    <rPh sb="5" eb="7">
      <t>カンシ</t>
    </rPh>
    <rPh sb="7" eb="9">
      <t>ガメン</t>
    </rPh>
    <rPh sb="11" eb="13">
      <t>ケッカ</t>
    </rPh>
    <rPh sb="14" eb="16">
      <t>セイジョウ</t>
    </rPh>
    <rPh sb="16" eb="18">
      <t>シュウリョウ</t>
    </rPh>
    <rPh sb="25" eb="27">
      <t>イジョウ</t>
    </rPh>
    <rPh sb="27" eb="29">
      <t>ケンシュツ</t>
    </rPh>
    <rPh sb="29" eb="31">
      <t>カンリョウ</t>
    </rPh>
    <rPh sb="32" eb="34">
      <t>バアイ</t>
    </rPh>
    <rPh sb="35" eb="37">
      <t>リユウ</t>
    </rPh>
    <rPh sb="38" eb="40">
      <t>カクニン</t>
    </rPh>
    <rPh sb="48" eb="50">
      <t>イジョウ</t>
    </rPh>
    <rPh sb="52" eb="54">
      <t>カクニン</t>
    </rPh>
    <phoneticPr fontId="1"/>
  </si>
  <si>
    <t>(①⇒②⇒③の優先度で対象を選定して実施)</t>
    <rPh sb="7" eb="10">
      <t>ユウセンド</t>
    </rPh>
    <rPh sb="11" eb="13">
      <t>タイショウ</t>
    </rPh>
    <rPh sb="14" eb="16">
      <t>センテイ</t>
    </rPh>
    <rPh sb="18" eb="20">
      <t>ジッシ</t>
    </rPh>
    <phoneticPr fontId="1"/>
  </si>
  <si>
    <t>１．JP1Agent 切替の流れ</t>
    <rPh sb="11" eb="13">
      <t>キリカエ</t>
    </rPh>
    <rPh sb="14" eb="15">
      <t>ナガ</t>
    </rPh>
    <phoneticPr fontId="1"/>
  </si>
  <si>
    <t>②③</t>
    <phoneticPr fontId="1"/>
  </si>
  <si>
    <t>①？</t>
    <phoneticPr fontId="1"/>
  </si>
  <si>
    <t>階層1</t>
    <rPh sb="0" eb="2">
      <t>カイソウ</t>
    </rPh>
    <phoneticPr fontId="1"/>
  </si>
  <si>
    <t>階層2</t>
    <rPh sb="0" eb="2">
      <t>カイソウ</t>
    </rPh>
    <phoneticPr fontId="1"/>
  </si>
  <si>
    <t>階層3</t>
    <rPh sb="0" eb="2">
      <t>カイソウ</t>
    </rPh>
    <phoneticPr fontId="1"/>
  </si>
  <si>
    <t>受信</t>
    <rPh sb="0" eb="2">
      <t>ジュシン</t>
    </rPh>
    <phoneticPr fontId="1"/>
  </si>
  <si>
    <t>送信側の上位パス</t>
    <rPh sb="0" eb="3">
      <t>ソウシンガワ</t>
    </rPh>
    <phoneticPr fontId="1"/>
  </si>
  <si>
    <t>受信側の上位パス</t>
    <rPh sb="0" eb="2">
      <t>ジュシン</t>
    </rPh>
    <rPh sb="2" eb="3">
      <t>ガワ</t>
    </rPh>
    <phoneticPr fontId="1"/>
  </si>
  <si>
    <t>01_HULFT</t>
  </si>
  <si>
    <t>該当なし</t>
  </si>
  <si>
    <t>10_DWH</t>
  </si>
  <si>
    <t>03_EC</t>
  </si>
  <si>
    <t>05_棚卸</t>
  </si>
  <si>
    <t>10_NAIS</t>
  </si>
  <si>
    <t>08_商品供給</t>
  </si>
  <si>
    <t>30_人事関連</t>
  </si>
  <si>
    <t>20_会計関連</t>
  </si>
  <si>
    <t>31_店舗</t>
  </si>
  <si>
    <t>70_WorkFlow</t>
  </si>
  <si>
    <t>50_商品関連</t>
  </si>
  <si>
    <t>06_消耗品発注</t>
  </si>
  <si>
    <t>送信側</t>
  </si>
  <si>
    <t>受信側</t>
  </si>
  <si>
    <t>10_DWH、N0100_02_日次、N2910_日次監視</t>
    <phoneticPr fontId="1"/>
  </si>
  <si>
    <t>N0100_02_日次</t>
    <phoneticPr fontId="1"/>
  </si>
  <si>
    <t>他サーバーは該当なし</t>
  </si>
  <si>
    <t>他サーバーは該当なし</t>
    <rPh sb="0" eb="1">
      <t>タ</t>
    </rPh>
    <rPh sb="6" eb="8">
      <t>ガイトウ</t>
    </rPh>
    <phoneticPr fontId="1"/>
  </si>
  <si>
    <t>他サーバーは該当なし？</t>
    <rPh sb="0" eb="1">
      <t>ホカ</t>
    </rPh>
    <rPh sb="6" eb="8">
      <t>ガイトウ</t>
    </rPh>
    <phoneticPr fontId="1"/>
  </si>
  <si>
    <t>01_HULFT、05_棚卸</t>
    <phoneticPr fontId="1"/>
  </si>
  <si>
    <t>20_会計関連</t>
    <phoneticPr fontId="1"/>
  </si>
  <si>
    <t>01_HULFT、N2910_日次監視</t>
    <phoneticPr fontId="1"/>
  </si>
  <si>
    <t>分類</t>
    <rPh sb="0" eb="2">
      <t>ブンルイ</t>
    </rPh>
    <phoneticPr fontId="1"/>
  </si>
  <si>
    <t>関連エージェントサーバー</t>
    <rPh sb="0" eb="2">
      <t>カンレン</t>
    </rPh>
    <phoneticPr fontId="1"/>
  </si>
  <si>
    <t>グループ</t>
    <phoneticPr fontId="1"/>
  </si>
  <si>
    <t>JP1①</t>
    <phoneticPr fontId="1"/>
  </si>
  <si>
    <t>切替ショット</t>
    <rPh sb="0" eb="2">
      <t>キリカエ</t>
    </rPh>
    <phoneticPr fontId="1"/>
  </si>
  <si>
    <t>JP1②</t>
    <phoneticPr fontId="1"/>
  </si>
  <si>
    <t>JP1③</t>
    <phoneticPr fontId="1"/>
  </si>
  <si>
    <t>JP1④</t>
    <phoneticPr fontId="1"/>
  </si>
  <si>
    <t>JP1⑤</t>
    <phoneticPr fontId="1"/>
  </si>
  <si>
    <t>ショット毎のユニット数(目安)</t>
    <rPh sb="4" eb="5">
      <t>ゴト</t>
    </rPh>
    <rPh sb="10" eb="11">
      <t>スウ</t>
    </rPh>
    <phoneticPr fontId="1"/>
  </si>
  <si>
    <t>※分類</t>
    <rPh sb="1" eb="3">
      <t>ブンルイ</t>
    </rPh>
    <phoneticPr fontId="1"/>
  </si>
  <si>
    <t>再実行の可否</t>
    <phoneticPr fontId="1"/>
  </si>
  <si>
    <t>即時性の有無</t>
    <phoneticPr fontId="1"/>
  </si>
  <si>
    <t>JP1ジョブ(上位)</t>
    <rPh sb="7" eb="9">
      <t>ジョウイ</t>
    </rPh>
    <phoneticPr fontId="1"/>
  </si>
  <si>
    <t>ジョブがサーバー間を跨って処理を行っているため上位のジョブ単位での切替を実施する。</t>
    <rPh sb="8" eb="9">
      <t>アイダ</t>
    </rPh>
    <rPh sb="10" eb="11">
      <t>マタガ</t>
    </rPh>
    <rPh sb="13" eb="15">
      <t>ショリ</t>
    </rPh>
    <rPh sb="16" eb="17">
      <t>オコナ</t>
    </rPh>
    <rPh sb="23" eb="25">
      <t>ジョウイ</t>
    </rPh>
    <rPh sb="29" eb="31">
      <t>タンイ</t>
    </rPh>
    <rPh sb="33" eb="35">
      <t>キリカエ</t>
    </rPh>
    <rPh sb="36" eb="38">
      <t>ジッシ</t>
    </rPh>
    <phoneticPr fontId="1"/>
  </si>
  <si>
    <t>杉山にて実施</t>
    <rPh sb="0" eb="2">
      <t>スギヤマ</t>
    </rPh>
    <rPh sb="4" eb="6">
      <t>ジッシ</t>
    </rPh>
    <phoneticPr fontId="1"/>
  </si>
  <si>
    <t>ジョブ概要</t>
    <rPh sb="3" eb="5">
      <t>ガイヨウ</t>
    </rPh>
    <phoneticPr fontId="1"/>
  </si>
  <si>
    <t>ファイルをBOXに退避</t>
    <rPh sb="9" eb="11">
      <t>タイヒ</t>
    </rPh>
    <phoneticPr fontId="1"/>
  </si>
  <si>
    <t>イオン向けに経営DBデータを送信する</t>
    <rPh sb="3" eb="4">
      <t>ム</t>
    </rPh>
    <rPh sb="6" eb="8">
      <t>ケイエイ</t>
    </rPh>
    <rPh sb="14" eb="16">
      <t>ソウシン</t>
    </rPh>
    <phoneticPr fontId="1"/>
  </si>
  <si>
    <t>ASM取引先から出荷実績データを受信する</t>
    <rPh sb="3" eb="6">
      <t>トリヒキサキ</t>
    </rPh>
    <rPh sb="8" eb="10">
      <t>シュッカ</t>
    </rPh>
    <rPh sb="10" eb="12">
      <t>ジッセキ</t>
    </rPh>
    <rPh sb="16" eb="18">
      <t>ジュシン</t>
    </rPh>
    <phoneticPr fontId="1"/>
  </si>
  <si>
    <t>ASMに支払データを送信する</t>
    <rPh sb="4" eb="6">
      <t>シハラ</t>
    </rPh>
    <rPh sb="10" eb="12">
      <t>ソウシン</t>
    </rPh>
    <phoneticPr fontId="1"/>
  </si>
  <si>
    <t>ナンバリングチケットを東西LC、北海道LCに送信</t>
    <rPh sb="11" eb="13">
      <t>トウザイ</t>
    </rPh>
    <rPh sb="16" eb="19">
      <t>ホッカイドウ</t>
    </rPh>
    <rPh sb="22" eb="24">
      <t>ソウシン</t>
    </rPh>
    <phoneticPr fontId="1"/>
  </si>
  <si>
    <t>イオンTOPVALUEに発注データを送信</t>
    <rPh sb="12" eb="14">
      <t>ハッチュウ</t>
    </rPh>
    <rPh sb="18" eb="20">
      <t>ソウシン</t>
    </rPh>
    <phoneticPr fontId="1"/>
  </si>
  <si>
    <t>PSS向けにデータを送信</t>
    <rPh sb="3" eb="4">
      <t>ム</t>
    </rPh>
    <rPh sb="10" eb="12">
      <t>ソウシン</t>
    </rPh>
    <phoneticPr fontId="1"/>
  </si>
  <si>
    <t>イオンからデータを受信するのみ</t>
    <rPh sb="9" eb="11">
      <t>ジュシン</t>
    </rPh>
    <phoneticPr fontId="1"/>
  </si>
  <si>
    <t>イオンレジ向けに商品マスタを送信する</t>
    <rPh sb="5" eb="6">
      <t>ム</t>
    </rPh>
    <rPh sb="8" eb="10">
      <t>ショウヒン</t>
    </rPh>
    <rPh sb="14" eb="16">
      <t>ソウシン</t>
    </rPh>
    <phoneticPr fontId="1"/>
  </si>
  <si>
    <t>自社レジに社員マスタを送信する</t>
    <rPh sb="0" eb="2">
      <t>ジシャ</t>
    </rPh>
    <rPh sb="5" eb="7">
      <t>シャイン</t>
    </rPh>
    <rPh sb="11" eb="13">
      <t>ソウシン</t>
    </rPh>
    <phoneticPr fontId="1"/>
  </si>
  <si>
    <t>イオン会計（SAP）にデータを送信する</t>
    <rPh sb="3" eb="5">
      <t>カイケイ</t>
    </rPh>
    <rPh sb="15" eb="17">
      <t>ソウシン</t>
    </rPh>
    <phoneticPr fontId="1"/>
  </si>
  <si>
    <t>イオンにオーナーズ実績を送信する</t>
    <rPh sb="9" eb="11">
      <t>ジッセキ</t>
    </rPh>
    <rPh sb="12" eb="14">
      <t>ソウシン</t>
    </rPh>
    <phoneticPr fontId="1"/>
  </si>
  <si>
    <t>ASM取引先から出荷実績を受領する</t>
    <rPh sb="3" eb="6">
      <t>トリヒキサキ</t>
    </rPh>
    <rPh sb="8" eb="10">
      <t>シュッカ</t>
    </rPh>
    <rPh sb="10" eb="12">
      <t>ジッセキ</t>
    </rPh>
    <rPh sb="13" eb="15">
      <t>ジュリョウ</t>
    </rPh>
    <phoneticPr fontId="1"/>
  </si>
  <si>
    <t>DCから出荷実績を受信する</t>
    <rPh sb="4" eb="6">
      <t>シュッカ</t>
    </rPh>
    <rPh sb="6" eb="8">
      <t>ジッセキ</t>
    </rPh>
    <rPh sb="9" eb="11">
      <t>ジュシン</t>
    </rPh>
    <phoneticPr fontId="1"/>
  </si>
  <si>
    <t>東西LCから出荷実績を受信する</t>
    <rPh sb="0" eb="2">
      <t>トウザイ</t>
    </rPh>
    <rPh sb="6" eb="8">
      <t>シュッカ</t>
    </rPh>
    <rPh sb="8" eb="10">
      <t>ジッセキ</t>
    </rPh>
    <rPh sb="11" eb="13">
      <t>ジュシン</t>
    </rPh>
    <phoneticPr fontId="1"/>
  </si>
  <si>
    <t>◎</t>
    <phoneticPr fontId="1"/>
  </si>
  <si>
    <t>コンセレジからの売上データを受信する</t>
    <rPh sb="8" eb="10">
      <t>ウリアゲ</t>
    </rPh>
    <rPh sb="14" eb="16">
      <t>ジュシン</t>
    </rPh>
    <phoneticPr fontId="1"/>
  </si>
  <si>
    <t>コンセレジからの売変データを受信する</t>
    <rPh sb="8" eb="10">
      <t>バイヘン</t>
    </rPh>
    <rPh sb="14" eb="16">
      <t>ジュシン</t>
    </rPh>
    <phoneticPr fontId="1"/>
  </si>
  <si>
    <t>コンセレジからの客数データを受信する</t>
    <rPh sb="8" eb="10">
      <t>キャクスウ</t>
    </rPh>
    <rPh sb="14" eb="16">
      <t>ジュシン</t>
    </rPh>
    <phoneticPr fontId="1"/>
  </si>
  <si>
    <t>イオン会計から精算データを受信する</t>
    <rPh sb="3" eb="5">
      <t>カイケイ</t>
    </rPh>
    <rPh sb="7" eb="9">
      <t>セイサン</t>
    </rPh>
    <rPh sb="13" eb="15">
      <t>ジュシン</t>
    </rPh>
    <phoneticPr fontId="1"/>
  </si>
  <si>
    <t>イオン会計からクレジット明細を受信する</t>
    <rPh sb="3" eb="5">
      <t>カイケイ</t>
    </rPh>
    <rPh sb="12" eb="14">
      <t>メイサイ</t>
    </rPh>
    <rPh sb="15" eb="17">
      <t>ジュシン</t>
    </rPh>
    <phoneticPr fontId="1"/>
  </si>
  <si>
    <t>伝票作成に関連するジョブ</t>
    <rPh sb="0" eb="2">
      <t>デンピョウ</t>
    </rPh>
    <rPh sb="2" eb="4">
      <t>サクセイ</t>
    </rPh>
    <rPh sb="5" eb="7">
      <t>カンレン</t>
    </rPh>
    <phoneticPr fontId="1"/>
  </si>
  <si>
    <t>通常取引先からの出荷実績を受信</t>
    <rPh sb="0" eb="2">
      <t>ツウジョウ</t>
    </rPh>
    <rPh sb="2" eb="4">
      <t>トリヒキ</t>
    </rPh>
    <rPh sb="4" eb="5">
      <t>サキ</t>
    </rPh>
    <rPh sb="8" eb="10">
      <t>シュッカ</t>
    </rPh>
    <rPh sb="10" eb="12">
      <t>ジッセキ</t>
    </rPh>
    <rPh sb="13" eb="15">
      <t>ジュシン</t>
    </rPh>
    <phoneticPr fontId="1"/>
  </si>
  <si>
    <t>通常取引先からの発注データを送信</t>
    <rPh sb="0" eb="2">
      <t>ツウジョウ</t>
    </rPh>
    <rPh sb="2" eb="5">
      <t>トリヒキサキ</t>
    </rPh>
    <rPh sb="8" eb="10">
      <t>ハッチュウ</t>
    </rPh>
    <rPh sb="14" eb="16">
      <t>ソウシン</t>
    </rPh>
    <phoneticPr fontId="1"/>
  </si>
  <si>
    <t>ECサイトに商品マスタを連携</t>
    <rPh sb="6" eb="8">
      <t>ショウヒン</t>
    </rPh>
    <rPh sb="12" eb="14">
      <t>レンケイ</t>
    </rPh>
    <phoneticPr fontId="1"/>
  </si>
  <si>
    <t>ECサイトに在庫情報を連携</t>
    <rPh sb="6" eb="8">
      <t>ザイコ</t>
    </rPh>
    <rPh sb="8" eb="10">
      <t>ジョウホウ</t>
    </rPh>
    <rPh sb="11" eb="13">
      <t>レンケイ</t>
    </rPh>
    <phoneticPr fontId="1"/>
  </si>
  <si>
    <t>ECサイトに入荷予定データを送信</t>
    <rPh sb="6" eb="8">
      <t>ニュウカ</t>
    </rPh>
    <rPh sb="8" eb="10">
      <t>ヨテイ</t>
    </rPh>
    <rPh sb="14" eb="16">
      <t>ソウシン</t>
    </rPh>
    <phoneticPr fontId="1"/>
  </si>
  <si>
    <t>ECサイトから売上データを受信</t>
    <rPh sb="7" eb="9">
      <t>ウリアゲ</t>
    </rPh>
    <rPh sb="13" eb="15">
      <t>ジュシン</t>
    </rPh>
    <phoneticPr fontId="1"/>
  </si>
  <si>
    <t>NDAMに商品ファイルを連携</t>
    <rPh sb="5" eb="7">
      <t>ショウヒン</t>
    </rPh>
    <rPh sb="12" eb="14">
      <t>レンケイ</t>
    </rPh>
    <phoneticPr fontId="1"/>
  </si>
  <si>
    <t>ECサイトから受信した売上データをDr.Sumに反映</t>
    <rPh sb="7" eb="9">
      <t>ジュシン</t>
    </rPh>
    <rPh sb="11" eb="13">
      <t>ウリアゲ</t>
    </rPh>
    <rPh sb="24" eb="26">
      <t>ハンエイ</t>
    </rPh>
    <phoneticPr fontId="1"/>
  </si>
  <si>
    <t>北雄LUCKYから売上データを受信</t>
    <rPh sb="0" eb="2">
      <t>ホクユウ</t>
    </rPh>
    <rPh sb="9" eb="11">
      <t>ウリアゲ</t>
    </rPh>
    <rPh sb="15" eb="17">
      <t>ジュシン</t>
    </rPh>
    <phoneticPr fontId="1"/>
  </si>
  <si>
    <t>北雄LUCKYに商品マスタを送信</t>
    <rPh sb="0" eb="2">
      <t>ホクユウ</t>
    </rPh>
    <rPh sb="8" eb="10">
      <t>ショウヒン</t>
    </rPh>
    <rPh sb="14" eb="16">
      <t>ソウシン</t>
    </rPh>
    <phoneticPr fontId="1"/>
  </si>
  <si>
    <t>棚卸業者に商品マスタを送信</t>
    <rPh sb="0" eb="2">
      <t>タナオロシ</t>
    </rPh>
    <rPh sb="2" eb="4">
      <t>ギョウシャ</t>
    </rPh>
    <rPh sb="5" eb="7">
      <t>ショウヒン</t>
    </rPh>
    <rPh sb="11" eb="13">
      <t>ソウシン</t>
    </rPh>
    <phoneticPr fontId="1"/>
  </si>
  <si>
    <t>〇</t>
    <phoneticPr fontId="1"/>
  </si>
  <si>
    <t>棚卸データをDr.Sumに連携</t>
    <rPh sb="0" eb="2">
      <t>タナオロシ</t>
    </rPh>
    <rPh sb="13" eb="15">
      <t>レンケイ</t>
    </rPh>
    <phoneticPr fontId="1"/>
  </si>
  <si>
    <t>棚卸業者から棚卸データを受信</t>
    <rPh sb="2" eb="4">
      <t>ギョウシャ</t>
    </rPh>
    <rPh sb="6" eb="8">
      <t>タナオロシ</t>
    </rPh>
    <rPh sb="12" eb="14">
      <t>ジュシン</t>
    </rPh>
    <phoneticPr fontId="1"/>
  </si>
  <si>
    <t>棚卸チェックリスト用に、棚卸情報が更新された場合のアラート通知用</t>
    <rPh sb="9" eb="10">
      <t>ヨウ</t>
    </rPh>
    <rPh sb="12" eb="14">
      <t>タナオロシ</t>
    </rPh>
    <rPh sb="14" eb="16">
      <t>ジョウホウ</t>
    </rPh>
    <rPh sb="17" eb="19">
      <t>コウシン</t>
    </rPh>
    <rPh sb="22" eb="24">
      <t>バアイ</t>
    </rPh>
    <rPh sb="29" eb="31">
      <t>ツウチ</t>
    </rPh>
    <rPh sb="31" eb="32">
      <t>ヨウ</t>
    </rPh>
    <phoneticPr fontId="1"/>
  </si>
  <si>
    <t>イオンディライト向け　消耗品発注データの送信</t>
    <rPh sb="8" eb="9">
      <t>ム</t>
    </rPh>
    <rPh sb="11" eb="14">
      <t>ショウモウヒン</t>
    </rPh>
    <rPh sb="14" eb="16">
      <t>ハッチュウ</t>
    </rPh>
    <rPh sb="20" eb="22">
      <t>ソウシン</t>
    </rPh>
    <phoneticPr fontId="1"/>
  </si>
  <si>
    <t>イオンディライト向け　発注データのバックアップ作成</t>
    <rPh sb="8" eb="9">
      <t>ム</t>
    </rPh>
    <rPh sb="11" eb="13">
      <t>ハッチュウ</t>
    </rPh>
    <rPh sb="23" eb="25">
      <t>サクセイ</t>
    </rPh>
    <phoneticPr fontId="1"/>
  </si>
  <si>
    <t>イオンディライト向け　消耗品発注データのBOXへのコピー。日次ジョブからイベント受信</t>
    <rPh sb="8" eb="9">
      <t>ム</t>
    </rPh>
    <rPh sb="11" eb="14">
      <t>ショウモウヒン</t>
    </rPh>
    <rPh sb="14" eb="16">
      <t>ハッチュウ</t>
    </rPh>
    <rPh sb="29" eb="31">
      <t>ニチジ</t>
    </rPh>
    <rPh sb="40" eb="42">
      <t>ジュシン</t>
    </rPh>
    <phoneticPr fontId="1"/>
  </si>
  <si>
    <t>[動作確認の観点]に基づき実行結果の評価</t>
    <rPh sb="10" eb="11">
      <t>モト</t>
    </rPh>
    <rPh sb="13" eb="15">
      <t>ジッコウ</t>
    </rPh>
    <rPh sb="15" eb="17">
      <t>ケッカ</t>
    </rPh>
    <rPh sb="18" eb="20">
      <t>ヒョウカ</t>
    </rPh>
    <phoneticPr fontId="1"/>
  </si>
  <si>
    <t>対応方針の検討 （発生時にDHI内で協議）</t>
    <rPh sb="0" eb="2">
      <t>タイオウ</t>
    </rPh>
    <rPh sb="2" eb="4">
      <t>ホウシン</t>
    </rPh>
    <rPh sb="5" eb="7">
      <t>ケントウ</t>
    </rPh>
    <rPh sb="9" eb="12">
      <t>ハッセイジ</t>
    </rPh>
    <rPh sb="16" eb="17">
      <t>ウチ</t>
    </rPh>
    <rPh sb="18" eb="20">
      <t>キョウギ</t>
    </rPh>
    <phoneticPr fontId="1"/>
  </si>
  <si>
    <t>再実行
の可否</t>
    <phoneticPr fontId="1"/>
  </si>
  <si>
    <t>即時性
の有無</t>
    <phoneticPr fontId="1"/>
  </si>
  <si>
    <t>実施順</t>
    <rPh sb="0" eb="3">
      <t>ジッシジュン</t>
    </rPh>
    <phoneticPr fontId="1"/>
  </si>
  <si>
    <t>実施予定日</t>
    <rPh sb="0" eb="5">
      <t>ジッシヨテイビ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</si>
</sst>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aaa"/>
  </numFmts>
  <fonts count="12" x14ac:knownFonts="1">
    <font>
      <sz val="11"/>
      <color theme="1"/>
      <name val="游ゴシック"/>
      <family val="2"/>
      <charset val="128"/>
      <scheme val="minor"/>
    </font>
    <font>
      <sz val="6"/>
      <name val="游ゴシック"/>
      <family val="2"/>
      <charset val="128"/>
      <scheme val="minor"/>
    </font>
    <font>
      <sz val="9"/>
      <color theme="1"/>
      <name val="メイリオ"/>
      <family val="3"/>
      <charset val="128"/>
    </font>
    <font>
      <b/>
      <sz val="11"/>
      <color theme="1" tint="0.249977111117893"/>
      <name val="メイリオ"/>
      <family val="3"/>
      <charset val="128"/>
    </font>
    <font>
      <b/>
      <sz val="9"/>
      <color theme="4" tint="0.39997558519241921"/>
      <name val="メイリオ"/>
      <family val="3"/>
      <charset val="128"/>
    </font>
    <font>
      <sz val="11"/>
      <color theme="1"/>
      <name val="Meiryo UI"/>
      <family val="3"/>
      <charset val="128"/>
    </font>
    <font>
      <b/>
      <sz val="11"/>
      <color theme="1"/>
      <name val="メイリオ"/>
      <family val="3"/>
      <charset val="128"/>
    </font>
    <font>
      <sz val="11"/>
      <color theme="1"/>
      <name val="メイリオ"/>
      <family val="3"/>
      <charset val="128"/>
    </font>
    <font>
      <b/>
      <sz val="11"/>
      <color theme="1"/>
      <name val="Meiryo UI"/>
      <family val="3"/>
      <charset val="128"/>
    </font>
    <font>
      <b/>
      <sz val="14"/>
      <color theme="3" tint="0.249977111117893"/>
      <name val="Meiryo UI"/>
      <family val="3"/>
      <charset val="128"/>
    </font>
    <font>
      <sz val="11"/>
      <color rgb="FFFF0000"/>
      <name val="メイリオ"/>
      <family val="3"/>
      <charset val="128"/>
    </font>
    <font>
      <sz val="9"/>
      <color theme="1"/>
      <name val="Meiryo UI"/>
      <family val="3"/>
      <charset val="128"/>
    </font>
  </fonts>
  <fills count="10">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CCFFCC"/>
        <bgColor indexed="64"/>
      </patternFill>
    </fill>
    <fill>
      <patternFill patternType="solid">
        <fgColor rgb="FFFFFF00"/>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s>
  <cellStyleXfs count="1">
    <xf numFmtId="0" fontId="0" fillId="0" borderId="0">
      <alignment vertical="center"/>
    </xf>
  </cellStyleXfs>
  <cellXfs count="98">
    <xf numFmtId="0" fontId="0" fillId="0" borderId="0" xfId="0">
      <alignment vertical="center"/>
    </xf>
    <xf numFmtId="0" fontId="2" fillId="0" borderId="0" xfId="0" applyFont="1">
      <alignment vertical="center"/>
    </xf>
    <xf numFmtId="0" fontId="2" fillId="3" borderId="0" xfId="0" applyFont="1" applyFill="1">
      <alignment vertical="center"/>
    </xf>
    <xf numFmtId="0" fontId="2" fillId="2" borderId="0" xfId="0" applyFont="1" applyFill="1">
      <alignment vertical="center"/>
    </xf>
    <xf numFmtId="0" fontId="2" fillId="5" borderId="0" xfId="0" applyFont="1" applyFill="1">
      <alignment vertical="center"/>
    </xf>
    <xf numFmtId="0" fontId="2" fillId="4" borderId="0" xfId="0" applyFont="1" applyFill="1">
      <alignment vertical="center"/>
    </xf>
    <xf numFmtId="0" fontId="2" fillId="4" borderId="0" xfId="0" applyFont="1" applyFill="1" applyAlignment="1">
      <alignment vertical="center" wrapText="1"/>
    </xf>
    <xf numFmtId="0" fontId="2" fillId="5" borderId="0" xfId="0" applyFont="1" applyFill="1" applyAlignment="1">
      <alignment vertical="center" wrapText="1"/>
    </xf>
    <xf numFmtId="0" fontId="2" fillId="4" borderId="0" xfId="0" applyFont="1" applyFill="1" applyAlignment="1">
      <alignment horizontal="center" vertical="center"/>
    </xf>
    <xf numFmtId="0" fontId="3" fillId="0" borderId="0" xfId="0" applyFont="1">
      <alignment vertical="center"/>
    </xf>
    <xf numFmtId="0" fontId="4" fillId="0" borderId="0" xfId="0" applyFont="1" applyAlignment="1">
      <alignment horizontal="right" vertical="center"/>
    </xf>
    <xf numFmtId="0" fontId="2" fillId="2" borderId="1" xfId="0" applyFont="1" applyFill="1" applyBorder="1" applyAlignment="1">
      <alignment vertical="top"/>
    </xf>
    <xf numFmtId="0" fontId="2" fillId="0" borderId="1" xfId="0" applyFont="1" applyBorder="1" applyAlignment="1">
      <alignment vertical="top"/>
    </xf>
    <xf numFmtId="0" fontId="2" fillId="3" borderId="1" xfId="0" applyFont="1" applyFill="1" applyBorder="1" applyAlignment="1">
      <alignment vertical="top"/>
    </xf>
    <xf numFmtId="0" fontId="5" fillId="0" borderId="0" xfId="0" applyFont="1">
      <alignment vertical="center"/>
    </xf>
    <xf numFmtId="22" fontId="5" fillId="0" borderId="0" xfId="0" applyNumberFormat="1" applyFont="1">
      <alignment vertical="center"/>
    </xf>
    <xf numFmtId="0" fontId="5" fillId="0" borderId="1" xfId="0" applyFont="1" applyBorder="1">
      <alignment vertical="center"/>
    </xf>
    <xf numFmtId="0" fontId="2"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lignment vertical="center"/>
    </xf>
    <xf numFmtId="0" fontId="5" fillId="2" borderId="1" xfId="0" applyFont="1" applyFill="1" applyBorder="1">
      <alignment vertical="center"/>
    </xf>
    <xf numFmtId="0" fontId="2" fillId="7" borderId="1" xfId="0" applyFont="1" applyFill="1" applyBorder="1" applyAlignment="1">
      <alignment horizontal="center" vertical="center"/>
    </xf>
    <xf numFmtId="0" fontId="6" fillId="0" borderId="0" xfId="0" applyFont="1">
      <alignment vertical="center"/>
    </xf>
    <xf numFmtId="0" fontId="7" fillId="0" borderId="0" xfId="0" applyFont="1">
      <alignment vertical="center"/>
    </xf>
    <xf numFmtId="0" fontId="7" fillId="6" borderId="1" xfId="0" applyFont="1" applyFill="1" applyBorder="1" applyAlignment="1">
      <alignment horizontal="center" vertical="center"/>
    </xf>
    <xf numFmtId="0" fontId="7" fillId="0" borderId="1" xfId="0" applyFont="1" applyBorder="1" applyAlignment="1">
      <alignment vertical="top"/>
    </xf>
    <xf numFmtId="0" fontId="8" fillId="0" borderId="0" xfId="0" applyFont="1">
      <alignment vertical="center"/>
    </xf>
    <xf numFmtId="0" fontId="5" fillId="0" borderId="1" xfId="0" applyFont="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horizontal="center" vertical="center"/>
    </xf>
    <xf numFmtId="0" fontId="5" fillId="0" borderId="1" xfId="0" applyFont="1" applyBorder="1" applyAlignment="1">
      <alignment horizontal="center" vertical="top"/>
    </xf>
    <xf numFmtId="0" fontId="9" fillId="0" borderId="0" xfId="0" applyFont="1">
      <alignment vertical="center"/>
    </xf>
    <xf numFmtId="0" fontId="5" fillId="8" borderId="1" xfId="0" applyFont="1" applyFill="1" applyBorder="1">
      <alignment vertical="center"/>
    </xf>
    <xf numFmtId="0" fontId="10" fillId="0" borderId="0" xfId="0" applyFont="1">
      <alignment vertical="center"/>
    </xf>
    <xf numFmtId="0" fontId="5" fillId="9" borderId="1" xfId="0" applyFont="1" applyFill="1" applyBorder="1">
      <alignment vertical="center"/>
    </xf>
    <xf numFmtId="0" fontId="11" fillId="6" borderId="1" xfId="0" applyFont="1" applyFill="1" applyBorder="1" applyAlignment="1">
      <alignment horizontal="center" vertical="center"/>
    </xf>
    <xf numFmtId="0" fontId="11" fillId="0" borderId="1" xfId="0" applyFont="1" applyBorder="1" applyAlignment="1">
      <alignment vertical="top"/>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0" borderId="0" xfId="0" applyFo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2" fillId="2" borderId="2" xfId="0" applyFont="1" applyFill="1" applyBorder="1" applyAlignment="1">
      <alignment vertical="top"/>
    </xf>
    <xf numFmtId="0" fontId="2" fillId="3" borderId="3" xfId="0" applyFont="1" applyFill="1" applyBorder="1" applyAlignment="1">
      <alignment vertical="top"/>
    </xf>
    <xf numFmtId="0" fontId="2" fillId="0" borderId="4" xfId="0" applyFont="1" applyBorder="1">
      <alignment vertical="center"/>
    </xf>
    <xf numFmtId="0" fontId="2" fillId="0" borderId="5" xfId="0" applyFont="1" applyBorder="1">
      <alignment vertical="center"/>
    </xf>
    <xf numFmtId="0" fontId="2" fillId="6" borderId="6" xfId="0" applyFont="1" applyFill="1" applyBorder="1" applyAlignment="1">
      <alignment horizontal="center" vertical="center"/>
    </xf>
    <xf numFmtId="0" fontId="2" fillId="2" borderId="2" xfId="0" applyFont="1" applyFill="1" applyBorder="1" applyAlignment="1">
      <alignment horizontal="center" vertical="top"/>
    </xf>
    <xf numFmtId="0" fontId="2" fillId="2" borderId="7" xfId="0" applyFont="1" applyFill="1" applyBorder="1" applyAlignment="1">
      <alignment horizontal="center" vertical="top"/>
    </xf>
    <xf numFmtId="0" fontId="2" fillId="0" borderId="7" xfId="0" applyFont="1" applyBorder="1" applyAlignment="1">
      <alignment horizontal="center" vertical="top"/>
    </xf>
    <xf numFmtId="0" fontId="2" fillId="3" borderId="7" xfId="0" applyFont="1" applyFill="1" applyBorder="1" applyAlignment="1">
      <alignment horizontal="center" vertical="top"/>
    </xf>
    <xf numFmtId="0" fontId="2" fillId="6" borderId="1" xfId="0" applyFont="1" applyFill="1" applyBorder="1" applyAlignment="1">
      <alignment horizontal="center" vertical="center" wrapText="1"/>
    </xf>
    <xf numFmtId="0" fontId="2" fillId="3" borderId="8" xfId="0" applyFont="1" applyFill="1" applyBorder="1" applyAlignment="1">
      <alignment vertical="top"/>
    </xf>
    <xf numFmtId="0" fontId="2" fillId="3" borderId="9" xfId="0" applyFont="1" applyFill="1" applyBorder="1" applyAlignment="1">
      <alignment vertical="top"/>
    </xf>
    <xf numFmtId="0" fontId="2" fillId="3" borderId="10" xfId="0" applyFont="1" applyFill="1" applyBorder="1" applyAlignment="1">
      <alignment horizontal="center" vertical="top"/>
    </xf>
    <xf numFmtId="0" fontId="2" fillId="0" borderId="11" xfId="0" applyFont="1" applyBorder="1">
      <alignment vertical="center"/>
    </xf>
    <xf numFmtId="0" fontId="2" fillId="3" borderId="12" xfId="0" applyFont="1" applyFill="1" applyBorder="1" applyAlignment="1">
      <alignment vertical="top"/>
    </xf>
    <xf numFmtId="0" fontId="2" fillId="0" borderId="13" xfId="0" applyFont="1" applyBorder="1">
      <alignment vertical="center"/>
    </xf>
    <xf numFmtId="0" fontId="2" fillId="3" borderId="14" xfId="0" applyFont="1" applyFill="1" applyBorder="1" applyAlignment="1">
      <alignment vertical="top"/>
    </xf>
    <xf numFmtId="0" fontId="2" fillId="3" borderId="15" xfId="0" applyFont="1" applyFill="1" applyBorder="1" applyAlignment="1">
      <alignment vertical="top"/>
    </xf>
    <xf numFmtId="0" fontId="2" fillId="3" borderId="16" xfId="0" applyFont="1" applyFill="1" applyBorder="1" applyAlignment="1">
      <alignment horizontal="center" vertical="top"/>
    </xf>
    <xf numFmtId="0" fontId="2" fillId="0" borderId="17" xfId="0" applyFont="1" applyBorder="1">
      <alignment vertical="center"/>
    </xf>
    <xf numFmtId="0" fontId="2" fillId="2" borderId="8" xfId="0" applyFont="1" applyFill="1" applyBorder="1" applyAlignment="1">
      <alignment vertical="top"/>
    </xf>
    <xf numFmtId="0" fontId="2" fillId="2" borderId="9" xfId="0" applyFont="1" applyFill="1" applyBorder="1" applyAlignment="1">
      <alignment vertical="top"/>
    </xf>
    <xf numFmtId="0" fontId="2" fillId="0" borderId="9" xfId="0" applyFont="1" applyBorder="1" applyAlignment="1">
      <alignment vertical="top"/>
    </xf>
    <xf numFmtId="0" fontId="2" fillId="0" borderId="10" xfId="0" applyFont="1" applyBorder="1" applyAlignment="1">
      <alignment horizontal="center" vertical="top"/>
    </xf>
    <xf numFmtId="0" fontId="2" fillId="2" borderId="12" xfId="0" applyFont="1" applyFill="1" applyBorder="1" applyAlignment="1">
      <alignment vertical="top"/>
    </xf>
    <xf numFmtId="0" fontId="2" fillId="0" borderId="12" xfId="0" applyFont="1" applyBorder="1" applyAlignment="1">
      <alignment vertical="top"/>
    </xf>
    <xf numFmtId="0" fontId="2" fillId="0" borderId="14" xfId="0" applyFont="1" applyBorder="1" applyAlignment="1">
      <alignment vertical="top"/>
    </xf>
    <xf numFmtId="0" fontId="2" fillId="0" borderId="15" xfId="0" applyFont="1" applyBorder="1" applyAlignment="1">
      <alignment vertical="top"/>
    </xf>
    <xf numFmtId="0" fontId="2" fillId="0" borderId="16" xfId="0" applyFont="1" applyBorder="1" applyAlignment="1">
      <alignment horizontal="center" vertical="top"/>
    </xf>
    <xf numFmtId="0" fontId="2" fillId="0" borderId="8" xfId="0" applyFont="1" applyBorder="1" applyAlignment="1">
      <alignment vertical="top"/>
    </xf>
    <xf numFmtId="0" fontId="2" fillId="3" borderId="7" xfId="0" applyFont="1" applyFill="1" applyBorder="1" applyAlignment="1">
      <alignment vertical="top"/>
    </xf>
    <xf numFmtId="0" fontId="2" fillId="3" borderId="18" xfId="0" applyFont="1" applyFill="1" applyBorder="1" applyAlignment="1">
      <alignment vertical="top"/>
    </xf>
    <xf numFmtId="0" fontId="2" fillId="3" borderId="19" xfId="0" applyFont="1" applyFill="1" applyBorder="1" applyAlignment="1">
      <alignment vertical="top"/>
    </xf>
    <xf numFmtId="0" fontId="2" fillId="3" borderId="19" xfId="0" applyFont="1" applyFill="1" applyBorder="1" applyAlignment="1">
      <alignment horizontal="center" vertical="top"/>
    </xf>
    <xf numFmtId="0" fontId="2" fillId="0" borderId="20" xfId="0" applyFont="1" applyBorder="1">
      <alignment vertical="center"/>
    </xf>
    <xf numFmtId="0" fontId="2" fillId="3" borderId="2" xfId="0" applyFont="1" applyFill="1" applyBorder="1" applyAlignment="1">
      <alignment vertical="top"/>
    </xf>
    <xf numFmtId="0" fontId="2" fillId="3" borderId="21" xfId="0" applyFont="1" applyFill="1" applyBorder="1" applyAlignment="1">
      <alignment vertical="top"/>
    </xf>
    <xf numFmtId="0" fontId="2" fillId="3" borderId="22" xfId="0" applyFont="1" applyFill="1" applyBorder="1" applyAlignment="1">
      <alignment vertical="top"/>
    </xf>
    <xf numFmtId="0" fontId="2" fillId="3" borderId="2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0" xfId="0" applyFont="1" applyFill="1" applyBorder="1" applyAlignment="1">
      <alignment horizontal="center" vertical="top"/>
    </xf>
    <xf numFmtId="0" fontId="2" fillId="2" borderId="16" xfId="0" applyFont="1" applyFill="1" applyBorder="1" applyAlignment="1">
      <alignment horizontal="center" vertical="top"/>
    </xf>
    <xf numFmtId="0" fontId="5" fillId="2" borderId="1" xfId="0" applyFont="1" applyFill="1" applyBorder="1" applyAlignment="1">
      <alignment horizontal="center" vertical="center"/>
    </xf>
    <xf numFmtId="0" fontId="2" fillId="2" borderId="7" xfId="0" applyFont="1" applyFill="1" applyBorder="1" applyAlignment="1">
      <alignment vertical="top"/>
    </xf>
    <xf numFmtId="0" fontId="11" fillId="6" borderId="1" xfId="0" applyFont="1" applyFill="1" applyBorder="1" applyAlignment="1">
      <alignment horizontal="center" vertical="center" wrapText="1"/>
    </xf>
    <xf numFmtId="0" fontId="2" fillId="8" borderId="10" xfId="0" applyFont="1" applyFill="1" applyBorder="1" applyAlignment="1">
      <alignment vertical="top"/>
    </xf>
    <xf numFmtId="0" fontId="2" fillId="8" borderId="7" xfId="0" applyFont="1" applyFill="1" applyBorder="1" applyAlignment="1">
      <alignment vertical="top"/>
    </xf>
    <xf numFmtId="0" fontId="2" fillId="8" borderId="16" xfId="0" applyFont="1" applyFill="1" applyBorder="1" applyAlignment="1">
      <alignment vertical="top"/>
    </xf>
    <xf numFmtId="0" fontId="2" fillId="8" borderId="19" xfId="0" applyFont="1" applyFill="1" applyBorder="1" applyAlignment="1">
      <alignment vertical="top"/>
    </xf>
    <xf numFmtId="0" fontId="5" fillId="6" borderId="24"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0" xfId="0" applyFont="1" applyFill="1" applyAlignment="1">
      <alignment horizontal="center" vertical="center"/>
    </xf>
    <xf numFmtId="14" fontId="5" fillId="0" borderId="25" xfId="0" applyNumberFormat="1" applyFont="1" applyBorder="1">
      <alignment vertical="center"/>
    </xf>
    <xf numFmtId="180" fontId="5" fillId="0" borderId="26" xfId="0" applyNumberFormat="1" applyFont="1" applyBorder="1">
      <alignment vertical="center"/>
    </xf>
  </cellXfs>
  <cellStyles count="1">
    <cellStyle name="標準"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B980-F038-4ADC-8D00-212266A396FA}">
  <dimension ref="B2:F23"/>
  <sheetViews>
    <sheetView showGridLines="0" tabSelected="1" zoomScale="85" zoomScaleNormal="85" workbookViewId="0"/>
  </sheetViews>
  <sheetFormatPr defaultColWidth="3.58203125" defaultRowHeight="17.5" x14ac:dyDescent="0.55000000000000004"/>
  <cols>
    <col min="1" max="3" width="3.58203125" style="23"/>
    <col min="4" max="4" width="6.33203125" style="23" customWidth="1"/>
    <col min="5" max="5" width="57.75" style="23" bestFit="1" customWidth="1"/>
    <col min="6" max="6" width="60.58203125" style="23" bestFit="1" customWidth="1"/>
    <col min="7" max="16384" width="3.58203125" style="23"/>
  </cols>
  <sheetData>
    <row r="2" spans="2:6" ht="19.5" x14ac:dyDescent="0.55000000000000004">
      <c r="B2" s="32" t="s">
        <v>713</v>
      </c>
      <c r="C2" s="32"/>
      <c r="D2" s="22"/>
    </row>
    <row r="4" spans="2:6" x14ac:dyDescent="0.55000000000000004">
      <c r="C4" s="26" t="s">
        <v>755</v>
      </c>
    </row>
    <row r="6" spans="2:6" x14ac:dyDescent="0.55000000000000004">
      <c r="D6" s="24" t="s">
        <v>2</v>
      </c>
      <c r="E6" s="24" t="s">
        <v>707</v>
      </c>
      <c r="F6" s="24" t="s">
        <v>700</v>
      </c>
    </row>
    <row r="7" spans="2:6" ht="36.65" customHeight="1" x14ac:dyDescent="0.55000000000000004">
      <c r="D7" s="25">
        <v>1</v>
      </c>
      <c r="E7" s="25" t="s">
        <v>716</v>
      </c>
      <c r="F7" s="25" t="s">
        <v>702</v>
      </c>
    </row>
    <row r="8" spans="2:6" ht="36.65" customHeight="1" x14ac:dyDescent="0.55000000000000004">
      <c r="D8" s="25">
        <v>2</v>
      </c>
      <c r="E8" s="25" t="s">
        <v>715</v>
      </c>
      <c r="F8" s="25" t="s">
        <v>703</v>
      </c>
    </row>
    <row r="9" spans="2:6" ht="36.65" customHeight="1" x14ac:dyDescent="0.55000000000000004">
      <c r="D9" s="25">
        <v>3</v>
      </c>
      <c r="E9" s="25" t="s">
        <v>704</v>
      </c>
      <c r="F9" s="25" t="s">
        <v>712</v>
      </c>
    </row>
    <row r="10" spans="2:6" ht="36.65" customHeight="1" x14ac:dyDescent="0.55000000000000004">
      <c r="D10" s="25">
        <v>4</v>
      </c>
      <c r="E10" s="25" t="s">
        <v>714</v>
      </c>
      <c r="F10" s="25" t="s">
        <v>802</v>
      </c>
    </row>
    <row r="11" spans="2:6" ht="36.65" customHeight="1" x14ac:dyDescent="0.55000000000000004">
      <c r="D11" s="25">
        <v>5</v>
      </c>
      <c r="E11" s="25" t="s">
        <v>705</v>
      </c>
      <c r="F11" s="25" t="s">
        <v>712</v>
      </c>
    </row>
    <row r="12" spans="2:6" ht="36.65" customHeight="1" x14ac:dyDescent="0.55000000000000004">
      <c r="D12" s="25">
        <v>6</v>
      </c>
      <c r="E12" s="25" t="s">
        <v>721</v>
      </c>
      <c r="F12" s="25" t="s">
        <v>710</v>
      </c>
    </row>
    <row r="13" spans="2:6" ht="36.65" customHeight="1" x14ac:dyDescent="0.55000000000000004">
      <c r="D13" s="25">
        <v>7</v>
      </c>
      <c r="E13" s="25" t="s">
        <v>722</v>
      </c>
      <c r="F13" s="25" t="s">
        <v>711</v>
      </c>
    </row>
    <row r="14" spans="2:6" ht="36.65" customHeight="1" x14ac:dyDescent="0.55000000000000004">
      <c r="D14" s="25">
        <v>8</v>
      </c>
      <c r="E14" s="25" t="s">
        <v>706</v>
      </c>
      <c r="F14" s="25" t="s">
        <v>709</v>
      </c>
    </row>
    <row r="15" spans="2:6" ht="36.65" customHeight="1" x14ac:dyDescent="0.55000000000000004">
      <c r="D15" s="25">
        <v>9</v>
      </c>
      <c r="E15" s="25" t="s">
        <v>708</v>
      </c>
      <c r="F15" s="25" t="s">
        <v>844</v>
      </c>
    </row>
    <row r="17" spans="4:5" x14ac:dyDescent="0.55000000000000004">
      <c r="D17" s="34" t="s">
        <v>720</v>
      </c>
      <c r="E17" s="34" t="s">
        <v>801</v>
      </c>
    </row>
    <row r="18" spans="4:5" x14ac:dyDescent="0.55000000000000004">
      <c r="D18" s="34"/>
      <c r="E18" s="34" t="s">
        <v>723</v>
      </c>
    </row>
    <row r="19" spans="4:5" x14ac:dyDescent="0.55000000000000004">
      <c r="D19" s="34"/>
      <c r="E19" s="34" t="s">
        <v>754</v>
      </c>
    </row>
    <row r="20" spans="4:5" x14ac:dyDescent="0.55000000000000004">
      <c r="D20" s="34"/>
      <c r="E20" s="34"/>
    </row>
    <row r="21" spans="4:5" x14ac:dyDescent="0.55000000000000004">
      <c r="D21" s="34"/>
      <c r="E21" s="34" t="s">
        <v>717</v>
      </c>
    </row>
    <row r="22" spans="4:5" x14ac:dyDescent="0.55000000000000004">
      <c r="D22" s="34"/>
      <c r="E22" s="34" t="s">
        <v>718</v>
      </c>
    </row>
    <row r="23" spans="4:5" x14ac:dyDescent="0.55000000000000004">
      <c r="D23" s="34"/>
      <c r="E23" s="34" t="s">
        <v>719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3E318-9AEA-4292-BCA0-A73C0EAF06BA}">
  <dimension ref="B2:F48"/>
  <sheetViews>
    <sheetView showGridLines="0" workbookViewId="0"/>
  </sheetViews>
  <sheetFormatPr defaultColWidth="3.33203125" defaultRowHeight="15" x14ac:dyDescent="0.55000000000000004"/>
  <cols>
    <col min="1" max="4" width="3.33203125" style="14"/>
    <col min="5" max="5" width="59.83203125" style="14" customWidth="1"/>
    <col min="6" max="6" width="21.58203125" style="14" customWidth="1"/>
    <col min="7" max="16384" width="3.33203125" style="14"/>
  </cols>
  <sheetData>
    <row r="2" spans="2:6" ht="19.5" x14ac:dyDescent="0.55000000000000004">
      <c r="B2" s="32" t="s">
        <v>752</v>
      </c>
    </row>
    <row r="4" spans="2:6" x14ac:dyDescent="0.55000000000000004">
      <c r="C4" s="26" t="s">
        <v>741</v>
      </c>
    </row>
    <row r="6" spans="2:6" x14ac:dyDescent="0.55000000000000004">
      <c r="D6" s="14" t="s">
        <v>742</v>
      </c>
    </row>
    <row r="8" spans="2:6" x14ac:dyDescent="0.55000000000000004">
      <c r="D8" s="18" t="s">
        <v>2</v>
      </c>
      <c r="E8" s="18" t="s">
        <v>743</v>
      </c>
      <c r="F8" s="18" t="s">
        <v>738</v>
      </c>
    </row>
    <row r="9" spans="2:6" ht="45.65" customHeight="1" x14ac:dyDescent="0.55000000000000004">
      <c r="D9" s="31">
        <v>1</v>
      </c>
      <c r="E9" s="29" t="s">
        <v>753</v>
      </c>
      <c r="F9" s="28" t="s">
        <v>734</v>
      </c>
    </row>
    <row r="10" spans="2:6" ht="45.65" customHeight="1" x14ac:dyDescent="0.55000000000000004">
      <c r="D10" s="31">
        <v>2</v>
      </c>
      <c r="E10" s="28" t="s">
        <v>744</v>
      </c>
      <c r="F10" s="28" t="s">
        <v>734</v>
      </c>
    </row>
    <row r="11" spans="2:6" ht="45.65" customHeight="1" x14ac:dyDescent="0.55000000000000004">
      <c r="D11" s="31">
        <v>3</v>
      </c>
      <c r="E11" s="29" t="s">
        <v>746</v>
      </c>
      <c r="F11" s="28" t="s">
        <v>735</v>
      </c>
    </row>
    <row r="12" spans="2:6" ht="45.65" customHeight="1" x14ac:dyDescent="0.55000000000000004">
      <c r="D12" s="31">
        <v>4</v>
      </c>
      <c r="E12" s="28" t="s">
        <v>745</v>
      </c>
      <c r="F12" s="28" t="s">
        <v>735</v>
      </c>
    </row>
    <row r="14" spans="2:6" x14ac:dyDescent="0.55000000000000004">
      <c r="D14" s="26" t="s">
        <v>747</v>
      </c>
    </row>
    <row r="16" spans="2:6" x14ac:dyDescent="0.55000000000000004">
      <c r="D16" s="30" t="s">
        <v>751</v>
      </c>
      <c r="E16" s="14" t="s">
        <v>749</v>
      </c>
    </row>
    <row r="17" spans="3:6" ht="14.5" customHeight="1" x14ac:dyDescent="0.55000000000000004">
      <c r="D17" s="30" t="s">
        <v>751</v>
      </c>
      <c r="E17" s="14" t="s">
        <v>748</v>
      </c>
    </row>
    <row r="18" spans="3:6" x14ac:dyDescent="0.55000000000000004">
      <c r="D18" s="30" t="s">
        <v>751</v>
      </c>
      <c r="E18" s="14" t="s">
        <v>750</v>
      </c>
    </row>
    <row r="21" spans="3:6" x14ac:dyDescent="0.55000000000000004">
      <c r="C21" s="26" t="s">
        <v>740</v>
      </c>
    </row>
    <row r="23" spans="3:6" x14ac:dyDescent="0.55000000000000004">
      <c r="D23" s="14" t="s">
        <v>739</v>
      </c>
    </row>
    <row r="25" spans="3:6" x14ac:dyDescent="0.55000000000000004">
      <c r="D25" s="26" t="s">
        <v>730</v>
      </c>
    </row>
    <row r="26" spans="3:6" x14ac:dyDescent="0.55000000000000004">
      <c r="D26" s="18" t="s">
        <v>2</v>
      </c>
      <c r="E26" s="18" t="s">
        <v>737</v>
      </c>
      <c r="F26" s="18" t="s">
        <v>738</v>
      </c>
    </row>
    <row r="27" spans="3:6" x14ac:dyDescent="0.55000000000000004">
      <c r="D27" s="27">
        <v>1</v>
      </c>
      <c r="E27" s="16" t="s">
        <v>724</v>
      </c>
      <c r="F27" s="16" t="s">
        <v>734</v>
      </c>
    </row>
    <row r="28" spans="3:6" x14ac:dyDescent="0.55000000000000004">
      <c r="D28" s="27">
        <v>2</v>
      </c>
      <c r="E28" s="16" t="s">
        <v>725</v>
      </c>
      <c r="F28" s="16" t="s">
        <v>734</v>
      </c>
    </row>
    <row r="29" spans="3:6" x14ac:dyDescent="0.55000000000000004">
      <c r="D29" s="27">
        <v>3</v>
      </c>
      <c r="E29" s="16" t="s">
        <v>726</v>
      </c>
      <c r="F29" s="16" t="s">
        <v>734</v>
      </c>
    </row>
    <row r="31" spans="3:6" x14ac:dyDescent="0.55000000000000004">
      <c r="D31" s="26" t="s">
        <v>731</v>
      </c>
    </row>
    <row r="32" spans="3:6" x14ac:dyDescent="0.55000000000000004">
      <c r="D32" s="18" t="s">
        <v>2</v>
      </c>
      <c r="E32" s="18" t="s">
        <v>737</v>
      </c>
      <c r="F32" s="18" t="s">
        <v>738</v>
      </c>
    </row>
    <row r="33" spans="4:6" x14ac:dyDescent="0.55000000000000004">
      <c r="D33" s="27">
        <v>1</v>
      </c>
      <c r="E33" s="16" t="s">
        <v>727</v>
      </c>
      <c r="F33" s="16" t="s">
        <v>734</v>
      </c>
    </row>
    <row r="34" spans="4:6" x14ac:dyDescent="0.55000000000000004">
      <c r="D34" s="27">
        <v>2</v>
      </c>
      <c r="E34" s="16" t="s">
        <v>728</v>
      </c>
      <c r="F34" s="16" t="s">
        <v>734</v>
      </c>
    </row>
    <row r="35" spans="4:6" x14ac:dyDescent="0.55000000000000004">
      <c r="D35" s="27">
        <v>3</v>
      </c>
      <c r="E35" s="16" t="s">
        <v>729</v>
      </c>
      <c r="F35" s="16" t="s">
        <v>735</v>
      </c>
    </row>
    <row r="36" spans="4:6" x14ac:dyDescent="0.55000000000000004">
      <c r="D36" s="27">
        <v>4</v>
      </c>
      <c r="E36" s="16" t="s">
        <v>724</v>
      </c>
      <c r="F36" s="16" t="s">
        <v>734</v>
      </c>
    </row>
    <row r="37" spans="4:6" x14ac:dyDescent="0.55000000000000004">
      <c r="D37" s="27">
        <v>5</v>
      </c>
      <c r="E37" s="16" t="s">
        <v>725</v>
      </c>
      <c r="F37" s="16" t="s">
        <v>734</v>
      </c>
    </row>
    <row r="38" spans="4:6" x14ac:dyDescent="0.55000000000000004">
      <c r="D38" s="27">
        <v>6</v>
      </c>
      <c r="E38" s="16" t="s">
        <v>733</v>
      </c>
      <c r="F38" s="16" t="s">
        <v>734</v>
      </c>
    </row>
    <row r="40" spans="4:6" x14ac:dyDescent="0.55000000000000004">
      <c r="D40" s="26" t="s">
        <v>732</v>
      </c>
    </row>
    <row r="41" spans="4:6" x14ac:dyDescent="0.55000000000000004">
      <c r="D41" s="18" t="s">
        <v>2</v>
      </c>
      <c r="E41" s="18" t="s">
        <v>737</v>
      </c>
      <c r="F41" s="18" t="s">
        <v>738</v>
      </c>
    </row>
    <row r="42" spans="4:6" x14ac:dyDescent="0.55000000000000004">
      <c r="D42" s="27">
        <v>1</v>
      </c>
      <c r="E42" s="16" t="s">
        <v>727</v>
      </c>
      <c r="F42" s="16" t="s">
        <v>734</v>
      </c>
    </row>
    <row r="43" spans="4:6" x14ac:dyDescent="0.55000000000000004">
      <c r="D43" s="27">
        <f>D42+1</f>
        <v>2</v>
      </c>
      <c r="E43" s="16" t="s">
        <v>728</v>
      </c>
      <c r="F43" s="16" t="s">
        <v>734</v>
      </c>
    </row>
    <row r="44" spans="4:6" x14ac:dyDescent="0.55000000000000004">
      <c r="D44" s="27">
        <f t="shared" ref="D44:D48" si="0">D43+1</f>
        <v>3</v>
      </c>
      <c r="E44" s="33" t="s">
        <v>845</v>
      </c>
      <c r="F44" s="16" t="s">
        <v>735</v>
      </c>
    </row>
    <row r="45" spans="4:6" x14ac:dyDescent="0.55000000000000004">
      <c r="D45" s="27">
        <f t="shared" si="0"/>
        <v>4</v>
      </c>
      <c r="E45" s="33" t="s">
        <v>736</v>
      </c>
      <c r="F45" s="16" t="s">
        <v>735</v>
      </c>
    </row>
    <row r="46" spans="4:6" x14ac:dyDescent="0.55000000000000004">
      <c r="D46" s="27">
        <f t="shared" si="0"/>
        <v>5</v>
      </c>
      <c r="E46" s="16" t="s">
        <v>724</v>
      </c>
      <c r="F46" s="16" t="s">
        <v>734</v>
      </c>
    </row>
    <row r="47" spans="4:6" x14ac:dyDescent="0.55000000000000004">
      <c r="D47" s="27">
        <f t="shared" si="0"/>
        <v>6</v>
      </c>
      <c r="E47" s="16" t="s">
        <v>725</v>
      </c>
      <c r="F47" s="16" t="s">
        <v>734</v>
      </c>
    </row>
    <row r="48" spans="4:6" x14ac:dyDescent="0.55000000000000004">
      <c r="D48" s="27">
        <f t="shared" si="0"/>
        <v>7</v>
      </c>
      <c r="E48" s="16" t="s">
        <v>733</v>
      </c>
      <c r="F48" s="16" t="s">
        <v>734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D50C9-136B-431E-A958-7FAC822F8C09}">
  <dimension ref="B2:Q179"/>
  <sheetViews>
    <sheetView showGridLines="0" zoomScaleNormal="100" workbookViewId="0"/>
  </sheetViews>
  <sheetFormatPr defaultColWidth="3.08203125" defaultRowHeight="15" x14ac:dyDescent="0.55000000000000004"/>
  <cols>
    <col min="1" max="2" width="3.08203125" style="14"/>
    <col min="3" max="3" width="33.58203125" style="40" customWidth="1"/>
    <col min="4" max="4" width="8.75" style="14" bestFit="1" customWidth="1"/>
    <col min="5" max="5" width="7.33203125" style="14" customWidth="1"/>
    <col min="6" max="6" width="40.58203125" style="14" bestFit="1" customWidth="1"/>
    <col min="7" max="7" width="7.25" style="14" bestFit="1" customWidth="1"/>
    <col min="8" max="8" width="17.25" style="14" customWidth="1"/>
    <col min="9" max="10" width="10" style="14" bestFit="1" customWidth="1"/>
    <col min="11" max="11" width="3.08203125" style="14"/>
    <col min="12" max="12" width="15.4140625" style="14" customWidth="1"/>
    <col min="13" max="13" width="9.6640625" style="14" customWidth="1"/>
    <col min="14" max="14" width="0" style="14" hidden="1" customWidth="1"/>
    <col min="15" max="15" width="6.83203125" style="14" bestFit="1" customWidth="1"/>
    <col min="16" max="16" width="11.25" style="14" bestFit="1" customWidth="1"/>
    <col min="17" max="17" width="3.1640625" style="14" bestFit="1" customWidth="1"/>
    <col min="18" max="16384" width="3.08203125" style="14"/>
  </cols>
  <sheetData>
    <row r="2" spans="2:17" x14ac:dyDescent="0.55000000000000004">
      <c r="B2" s="36" t="s">
        <v>2</v>
      </c>
      <c r="C2" s="36" t="s">
        <v>800</v>
      </c>
      <c r="D2" s="36" t="s">
        <v>701</v>
      </c>
      <c r="E2" s="36" t="s">
        <v>787</v>
      </c>
      <c r="F2" s="36" t="s">
        <v>788</v>
      </c>
      <c r="G2" s="36" t="s">
        <v>789</v>
      </c>
      <c r="H2" s="36" t="s">
        <v>791</v>
      </c>
      <c r="I2" s="36" t="s">
        <v>798</v>
      </c>
      <c r="J2" s="36" t="s">
        <v>799</v>
      </c>
    </row>
    <row r="3" spans="2:17" x14ac:dyDescent="0.55000000000000004">
      <c r="B3" s="37">
        <f>ROW()-2</f>
        <v>1</v>
      </c>
      <c r="C3" s="37" t="s">
        <v>23</v>
      </c>
      <c r="D3" s="37">
        <f>COUNTIF('ジョブ一覧(詳細)'!$C:$C,'ジョブ一覧(概要)'!$C3)</f>
        <v>31</v>
      </c>
      <c r="E3" s="38" t="s">
        <v>756</v>
      </c>
      <c r="F3" s="16" t="s">
        <v>779</v>
      </c>
      <c r="G3" s="27">
        <v>1</v>
      </c>
      <c r="H3" s="27" t="s">
        <v>795</v>
      </c>
      <c r="I3" s="33"/>
      <c r="J3" s="33"/>
      <c r="L3" s="93" t="s">
        <v>796</v>
      </c>
      <c r="M3" s="94"/>
      <c r="N3" s="95"/>
      <c r="O3" s="18" t="s">
        <v>848</v>
      </c>
      <c r="P3" s="93" t="s">
        <v>849</v>
      </c>
      <c r="Q3" s="94"/>
    </row>
    <row r="4" spans="2:17" x14ac:dyDescent="0.55000000000000004">
      <c r="B4" s="37">
        <f t="shared" ref="B4:B23" si="0">ROW()-2</f>
        <v>2</v>
      </c>
      <c r="C4" s="37" t="s">
        <v>86</v>
      </c>
      <c r="D4" s="37">
        <f>COUNTIF('ジョブ一覧(詳細)'!$C:$C,'ジョブ一覧(概要)'!$C4)</f>
        <v>6</v>
      </c>
      <c r="E4" s="39" t="s">
        <v>11</v>
      </c>
      <c r="F4" s="16" t="s">
        <v>781</v>
      </c>
      <c r="G4" s="27">
        <v>2</v>
      </c>
      <c r="H4" s="27" t="s">
        <v>790</v>
      </c>
      <c r="I4" s="33"/>
      <c r="J4" s="33"/>
      <c r="L4" s="16" t="s">
        <v>790</v>
      </c>
      <c r="M4" s="16">
        <f>SUMIF($H$3:$H$23,$L4,$D$3:$D$23)</f>
        <v>25</v>
      </c>
      <c r="N4" s="14">
        <v>7</v>
      </c>
      <c r="O4" s="16">
        <v>3</v>
      </c>
      <c r="P4" s="96">
        <v>46233</v>
      </c>
      <c r="Q4" s="97">
        <f>P4</f>
        <v>46233</v>
      </c>
    </row>
    <row r="5" spans="2:17" x14ac:dyDescent="0.55000000000000004">
      <c r="B5" s="37">
        <f t="shared" si="0"/>
        <v>3</v>
      </c>
      <c r="C5" s="37" t="s">
        <v>99</v>
      </c>
      <c r="D5" s="37">
        <f>COUNTIF('ジョブ一覧(詳細)'!$C:$C,'ジョブ一覧(概要)'!$C5)</f>
        <v>2</v>
      </c>
      <c r="E5" s="38" t="s">
        <v>756</v>
      </c>
      <c r="F5" s="16" t="s">
        <v>783</v>
      </c>
      <c r="G5" s="27">
        <v>3</v>
      </c>
      <c r="H5" s="27" t="s">
        <v>790</v>
      </c>
      <c r="I5" s="33"/>
      <c r="J5" s="33"/>
      <c r="L5" s="16" t="s">
        <v>792</v>
      </c>
      <c r="M5" s="16">
        <f>SUMIF($H$3:$H$23,$L5,$D$3:$D$23)</f>
        <v>34</v>
      </c>
      <c r="N5" s="14">
        <v>7</v>
      </c>
      <c r="O5" s="16">
        <v>1</v>
      </c>
      <c r="P5" s="96">
        <v>46219</v>
      </c>
      <c r="Q5" s="97">
        <f t="shared" ref="Q5:Q8" si="1">P5</f>
        <v>46219</v>
      </c>
    </row>
    <row r="6" spans="2:17" x14ac:dyDescent="0.55000000000000004">
      <c r="B6" s="37">
        <f t="shared" si="0"/>
        <v>4</v>
      </c>
      <c r="C6" s="37" t="s">
        <v>104</v>
      </c>
      <c r="D6" s="37">
        <f>COUNTIF('ジョブ一覧(詳細)'!$C:$C,'ジョブ一覧(概要)'!$C6)</f>
        <v>6</v>
      </c>
      <c r="E6" s="27" t="s">
        <v>757</v>
      </c>
      <c r="F6" s="16" t="s">
        <v>780</v>
      </c>
      <c r="G6" s="27">
        <v>4</v>
      </c>
      <c r="H6" s="27" t="s">
        <v>790</v>
      </c>
      <c r="I6" s="33"/>
      <c r="J6" s="33"/>
      <c r="L6" s="16" t="s">
        <v>793</v>
      </c>
      <c r="M6" s="16">
        <f>SUMIF($H$3:$H$23,$L6,$D$3:$D$23)</f>
        <v>18</v>
      </c>
      <c r="N6" s="14">
        <v>7</v>
      </c>
      <c r="O6" s="16">
        <v>2</v>
      </c>
      <c r="P6" s="96">
        <v>46231</v>
      </c>
      <c r="Q6" s="97">
        <f t="shared" si="1"/>
        <v>46231</v>
      </c>
    </row>
    <row r="7" spans="2:17" x14ac:dyDescent="0.55000000000000004">
      <c r="B7" s="37">
        <f t="shared" si="0"/>
        <v>5</v>
      </c>
      <c r="C7" s="37" t="s">
        <v>117</v>
      </c>
      <c r="D7" s="37">
        <f>COUNTIF('ジョブ一覧(詳細)'!$C:$C,'ジョブ一覧(概要)'!$C7)</f>
        <v>2</v>
      </c>
      <c r="E7" s="39" t="s">
        <v>11</v>
      </c>
      <c r="F7" s="16" t="s">
        <v>782</v>
      </c>
      <c r="G7" s="27">
        <v>5</v>
      </c>
      <c r="H7" s="27" t="s">
        <v>790</v>
      </c>
      <c r="I7" s="33"/>
      <c r="J7" s="33"/>
      <c r="L7" s="16" t="s">
        <v>794</v>
      </c>
      <c r="M7" s="16">
        <f>SUMIF($H$3:$H$23,$L7,$D$3:$D$23)</f>
        <v>30</v>
      </c>
      <c r="N7" s="14">
        <v>8</v>
      </c>
      <c r="O7" s="16">
        <v>4</v>
      </c>
      <c r="P7" s="96">
        <v>46248</v>
      </c>
      <c r="Q7" s="97">
        <f t="shared" si="1"/>
        <v>46248</v>
      </c>
    </row>
    <row r="8" spans="2:17" x14ac:dyDescent="0.55000000000000004">
      <c r="B8" s="37">
        <f t="shared" si="0"/>
        <v>6</v>
      </c>
      <c r="C8" s="37" t="s">
        <v>122</v>
      </c>
      <c r="D8" s="37">
        <f>COUNTIF('ジョブ一覧(詳細)'!$C:$C,'ジョブ一覧(概要)'!$C8)</f>
        <v>4</v>
      </c>
      <c r="E8" s="27" t="s">
        <v>757</v>
      </c>
      <c r="F8" s="16" t="s">
        <v>769</v>
      </c>
      <c r="G8" s="27">
        <v>1</v>
      </c>
      <c r="H8" s="27" t="s">
        <v>795</v>
      </c>
      <c r="I8" s="33"/>
      <c r="J8" s="33"/>
      <c r="L8" s="16" t="s">
        <v>795</v>
      </c>
      <c r="M8" s="16">
        <f>SUMIF($H$3:$H$23,$L8,$D$3:$D$23)</f>
        <v>59</v>
      </c>
      <c r="N8" s="14">
        <v>8</v>
      </c>
      <c r="O8" s="16">
        <v>5</v>
      </c>
      <c r="P8" s="96">
        <v>46252</v>
      </c>
      <c r="Q8" s="97">
        <f t="shared" si="1"/>
        <v>46252</v>
      </c>
    </row>
    <row r="9" spans="2:17" x14ac:dyDescent="0.55000000000000004">
      <c r="B9" s="37">
        <f t="shared" si="0"/>
        <v>7</v>
      </c>
      <c r="C9" s="37" t="s">
        <v>131</v>
      </c>
      <c r="D9" s="37">
        <f>COUNTIF('ジョブ一覧(詳細)'!$C:$C,'ジョブ一覧(概要)'!$C9)</f>
        <v>3</v>
      </c>
      <c r="E9" s="27" t="s">
        <v>757</v>
      </c>
      <c r="F9" s="16" t="s">
        <v>782</v>
      </c>
      <c r="G9" s="27">
        <v>6</v>
      </c>
      <c r="H9" s="27" t="s">
        <v>790</v>
      </c>
      <c r="I9" s="33"/>
      <c r="J9" s="33"/>
    </row>
    <row r="10" spans="2:17" x14ac:dyDescent="0.55000000000000004">
      <c r="B10" s="37">
        <f t="shared" si="0"/>
        <v>8</v>
      </c>
      <c r="C10" s="37" t="s">
        <v>138</v>
      </c>
      <c r="D10" s="37">
        <f>COUNTIF('ジョブ一覧(詳細)'!$C:$C,'ジョブ一覧(概要)'!$C10)</f>
        <v>10</v>
      </c>
      <c r="E10" s="38" t="s">
        <v>756</v>
      </c>
      <c r="F10" s="16" t="s">
        <v>782</v>
      </c>
      <c r="G10" s="27">
        <v>7</v>
      </c>
      <c r="H10" s="27" t="s">
        <v>794</v>
      </c>
      <c r="I10" s="33"/>
      <c r="J10" s="33"/>
    </row>
    <row r="11" spans="2:17" x14ac:dyDescent="0.55000000000000004">
      <c r="B11" s="37">
        <f t="shared" si="0"/>
        <v>9</v>
      </c>
      <c r="C11" s="37" t="s">
        <v>159</v>
      </c>
      <c r="D11" s="37">
        <f>COUNTIF('ジョブ一覧(詳細)'!$C:$C,'ジョブ一覧(概要)'!$C11)</f>
        <v>7</v>
      </c>
      <c r="E11" s="38" t="s">
        <v>756</v>
      </c>
      <c r="F11" s="16" t="s">
        <v>782</v>
      </c>
      <c r="G11" s="27">
        <v>8</v>
      </c>
      <c r="H11" s="27" t="s">
        <v>794</v>
      </c>
      <c r="I11" s="33"/>
      <c r="J11" s="33"/>
    </row>
    <row r="12" spans="2:17" x14ac:dyDescent="0.55000000000000004">
      <c r="B12" s="37">
        <f t="shared" si="0"/>
        <v>10</v>
      </c>
      <c r="C12" s="37" t="s">
        <v>174</v>
      </c>
      <c r="D12" s="37">
        <f>COUNTIF('ジョブ一覧(詳細)'!$C:$C,'ジョブ一覧(概要)'!$C12)</f>
        <v>6</v>
      </c>
      <c r="E12" s="39" t="s">
        <v>11</v>
      </c>
      <c r="F12" s="16" t="s">
        <v>782</v>
      </c>
      <c r="G12" s="27">
        <v>9</v>
      </c>
      <c r="H12" s="27" t="s">
        <v>790</v>
      </c>
      <c r="I12" s="33"/>
      <c r="J12" s="33"/>
    </row>
    <row r="13" spans="2:17" x14ac:dyDescent="0.55000000000000004">
      <c r="B13" s="37">
        <f t="shared" si="0"/>
        <v>11</v>
      </c>
      <c r="C13" s="37" t="s">
        <v>187</v>
      </c>
      <c r="D13" s="37">
        <f>COUNTIF('ジョブ一覧(詳細)'!$C:$C,'ジョブ一覧(概要)'!$C13)</f>
        <v>17</v>
      </c>
      <c r="E13" s="38" t="s">
        <v>756</v>
      </c>
      <c r="F13" s="16" t="s">
        <v>784</v>
      </c>
      <c r="G13" s="27">
        <v>1</v>
      </c>
      <c r="H13" s="27" t="s">
        <v>795</v>
      </c>
      <c r="I13" s="33"/>
      <c r="J13" s="33"/>
    </row>
    <row r="14" spans="2:17" x14ac:dyDescent="0.55000000000000004">
      <c r="B14" s="37">
        <f t="shared" si="0"/>
        <v>12</v>
      </c>
      <c r="C14" s="37" t="s">
        <v>221</v>
      </c>
      <c r="D14" s="37">
        <f>COUNTIF('ジョブ一覧(詳細)'!$C:$C,'ジョブ一覧(概要)'!$C14)</f>
        <v>3</v>
      </c>
      <c r="E14" s="38" t="s">
        <v>756</v>
      </c>
      <c r="F14" s="16" t="s">
        <v>783</v>
      </c>
      <c r="G14" s="27">
        <v>10</v>
      </c>
      <c r="H14" s="27" t="s">
        <v>794</v>
      </c>
      <c r="I14" s="33"/>
      <c r="J14" s="33"/>
    </row>
    <row r="15" spans="2:17" x14ac:dyDescent="0.55000000000000004">
      <c r="B15" s="37">
        <f t="shared" si="0"/>
        <v>13</v>
      </c>
      <c r="C15" s="37" t="s">
        <v>228</v>
      </c>
      <c r="D15" s="37">
        <f>COUNTIF('ジョブ一覧(詳細)'!$C:$C,'ジョブ一覧(概要)'!$C15)</f>
        <v>16</v>
      </c>
      <c r="E15" s="39" t="s">
        <v>11</v>
      </c>
      <c r="F15" s="16" t="s">
        <v>771</v>
      </c>
      <c r="G15" s="27">
        <v>11</v>
      </c>
      <c r="H15" s="27" t="s">
        <v>792</v>
      </c>
      <c r="I15" s="33"/>
      <c r="J15" s="33"/>
    </row>
    <row r="16" spans="2:17" x14ac:dyDescent="0.55000000000000004">
      <c r="B16" s="37">
        <f t="shared" si="0"/>
        <v>14</v>
      </c>
      <c r="C16" s="37" t="s">
        <v>261</v>
      </c>
      <c r="D16" s="37">
        <f>COUNTIF('ジョブ一覧(詳細)'!$C:$C,'ジョブ一覧(概要)'!$C16)</f>
        <v>10</v>
      </c>
      <c r="E16" s="38" t="s">
        <v>756</v>
      </c>
      <c r="F16" s="16" t="s">
        <v>785</v>
      </c>
      <c r="G16" s="27">
        <v>11</v>
      </c>
      <c r="H16" s="27" t="s">
        <v>792</v>
      </c>
      <c r="I16" s="33"/>
      <c r="J16" s="33"/>
    </row>
    <row r="17" spans="2:10" x14ac:dyDescent="0.55000000000000004">
      <c r="B17" s="37">
        <f t="shared" si="0"/>
        <v>15</v>
      </c>
      <c r="C17" s="37" t="s">
        <v>282</v>
      </c>
      <c r="D17" s="37">
        <f>COUNTIF('ジョブ一覧(詳細)'!$C:$C,'ジョブ一覧(概要)'!$C17)</f>
        <v>7</v>
      </c>
      <c r="E17" s="27" t="s">
        <v>757</v>
      </c>
      <c r="F17" s="16" t="s">
        <v>786</v>
      </c>
      <c r="G17" s="27">
        <v>1</v>
      </c>
      <c r="H17" s="27" t="s">
        <v>795</v>
      </c>
      <c r="I17" s="33"/>
      <c r="J17" s="33"/>
    </row>
    <row r="18" spans="2:10" x14ac:dyDescent="0.55000000000000004">
      <c r="B18" s="37">
        <f t="shared" si="0"/>
        <v>16</v>
      </c>
      <c r="C18" s="37" t="s">
        <v>297</v>
      </c>
      <c r="D18" s="37">
        <f>COUNTIF('ジョブ一覧(詳細)'!$C:$C,'ジョブ一覧(概要)'!$C18)</f>
        <v>8</v>
      </c>
      <c r="E18" s="27" t="s">
        <v>757</v>
      </c>
      <c r="F18" s="16" t="s">
        <v>782</v>
      </c>
      <c r="G18" s="27">
        <v>12</v>
      </c>
      <c r="H18" s="27" t="s">
        <v>793</v>
      </c>
      <c r="I18" s="33"/>
      <c r="J18" s="33"/>
    </row>
    <row r="19" spans="2:10" x14ac:dyDescent="0.55000000000000004">
      <c r="B19" s="37">
        <f t="shared" si="0"/>
        <v>17</v>
      </c>
      <c r="C19" s="37" t="s">
        <v>313</v>
      </c>
      <c r="D19" s="37">
        <f>COUNTIF('ジョブ一覧(詳細)'!$C:$C,'ジョブ一覧(概要)'!$C19)</f>
        <v>1</v>
      </c>
      <c r="E19" s="39" t="s">
        <v>11</v>
      </c>
      <c r="F19" s="16" t="s">
        <v>782</v>
      </c>
      <c r="G19" s="27">
        <v>13</v>
      </c>
      <c r="H19" s="27" t="s">
        <v>792</v>
      </c>
      <c r="I19" s="33"/>
      <c r="J19" s="33"/>
    </row>
    <row r="20" spans="2:10" x14ac:dyDescent="0.55000000000000004">
      <c r="B20" s="37">
        <f t="shared" si="0"/>
        <v>18</v>
      </c>
      <c r="C20" s="37" t="s">
        <v>316</v>
      </c>
      <c r="D20" s="37">
        <f>COUNTIF('ジョブ一覧(詳細)'!$C:$C,'ジョブ一覧(概要)'!$C20)</f>
        <v>1</v>
      </c>
      <c r="E20" s="39" t="s">
        <v>11</v>
      </c>
      <c r="F20" s="16" t="s">
        <v>782</v>
      </c>
      <c r="G20" s="27">
        <v>14</v>
      </c>
      <c r="H20" s="27" t="s">
        <v>792</v>
      </c>
      <c r="I20" s="33"/>
      <c r="J20" s="33"/>
    </row>
    <row r="21" spans="2:10" x14ac:dyDescent="0.55000000000000004">
      <c r="B21" s="37">
        <f t="shared" si="0"/>
        <v>19</v>
      </c>
      <c r="C21" s="37" t="s">
        <v>318</v>
      </c>
      <c r="D21" s="37">
        <f>COUNTIF('ジョブ一覧(詳細)'!$C:$C,'ジョブ一覧(概要)'!$C21)</f>
        <v>6</v>
      </c>
      <c r="E21" s="39" t="s">
        <v>11</v>
      </c>
      <c r="F21" s="16" t="s">
        <v>782</v>
      </c>
      <c r="G21" s="27">
        <v>15</v>
      </c>
      <c r="H21" s="27" t="s">
        <v>792</v>
      </c>
      <c r="I21" s="33"/>
      <c r="J21" s="33"/>
    </row>
    <row r="22" spans="2:10" x14ac:dyDescent="0.55000000000000004">
      <c r="B22" s="37">
        <f t="shared" si="0"/>
        <v>20</v>
      </c>
      <c r="C22" s="37" t="s">
        <v>330</v>
      </c>
      <c r="D22" s="37">
        <f>COUNTIF('ジョブ一覧(詳細)'!$C:$C,'ジョブ一覧(概要)'!$C22)</f>
        <v>10</v>
      </c>
      <c r="E22" s="39" t="s">
        <v>11</v>
      </c>
      <c r="F22" s="16" t="s">
        <v>780</v>
      </c>
      <c r="G22" s="27">
        <v>16</v>
      </c>
      <c r="H22" s="27" t="s">
        <v>793</v>
      </c>
      <c r="I22" s="33"/>
      <c r="J22" s="33"/>
    </row>
    <row r="23" spans="2:10" x14ac:dyDescent="0.55000000000000004">
      <c r="B23" s="37">
        <f t="shared" si="0"/>
        <v>21</v>
      </c>
      <c r="C23" s="37" t="s">
        <v>357</v>
      </c>
      <c r="D23" s="37">
        <f>COUNTIF('ジョブ一覧(詳細)'!$C:$C,'ジョブ一覧(概要)'!$C23)</f>
        <v>10</v>
      </c>
      <c r="E23" s="39" t="s">
        <v>11</v>
      </c>
      <c r="F23" s="16" t="s">
        <v>782</v>
      </c>
      <c r="G23" s="27">
        <v>17</v>
      </c>
      <c r="H23" s="27" t="s">
        <v>794</v>
      </c>
      <c r="I23" s="33"/>
      <c r="J23" s="33"/>
    </row>
    <row r="24" spans="2:10" x14ac:dyDescent="0.55000000000000004">
      <c r="C24" s="14"/>
    </row>
    <row r="25" spans="2:10" x14ac:dyDescent="0.55000000000000004">
      <c r="B25" s="26" t="s">
        <v>797</v>
      </c>
      <c r="C25" s="14"/>
    </row>
    <row r="26" spans="2:10" x14ac:dyDescent="0.55000000000000004">
      <c r="C26" s="14" t="s">
        <v>717</v>
      </c>
    </row>
    <row r="27" spans="2:10" x14ac:dyDescent="0.55000000000000004">
      <c r="C27" s="14" t="s">
        <v>718</v>
      </c>
    </row>
    <row r="28" spans="2:10" x14ac:dyDescent="0.55000000000000004">
      <c r="C28" s="14" t="s">
        <v>719</v>
      </c>
    </row>
    <row r="29" spans="2:10" x14ac:dyDescent="0.55000000000000004">
      <c r="C29" s="14"/>
    </row>
    <row r="30" spans="2:10" x14ac:dyDescent="0.55000000000000004">
      <c r="C30" s="14"/>
    </row>
    <row r="31" spans="2:10" x14ac:dyDescent="0.55000000000000004">
      <c r="C31" s="14"/>
    </row>
    <row r="32" spans="2:10" x14ac:dyDescent="0.55000000000000004">
      <c r="C32" s="14"/>
    </row>
    <row r="33" s="14" customFormat="1" x14ac:dyDescent="0.55000000000000004"/>
    <row r="34" s="14" customFormat="1" x14ac:dyDescent="0.55000000000000004"/>
    <row r="35" s="14" customFormat="1" x14ac:dyDescent="0.55000000000000004"/>
    <row r="36" s="14" customFormat="1" x14ac:dyDescent="0.55000000000000004"/>
    <row r="37" s="14" customFormat="1" x14ac:dyDescent="0.55000000000000004"/>
    <row r="38" s="14" customFormat="1" x14ac:dyDescent="0.55000000000000004"/>
    <row r="39" s="14" customFormat="1" x14ac:dyDescent="0.55000000000000004"/>
    <row r="40" s="14" customFormat="1" x14ac:dyDescent="0.55000000000000004"/>
    <row r="41" s="14" customFormat="1" x14ac:dyDescent="0.55000000000000004"/>
    <row r="42" s="14" customFormat="1" x14ac:dyDescent="0.55000000000000004"/>
    <row r="43" s="14" customFormat="1" x14ac:dyDescent="0.55000000000000004"/>
    <row r="44" s="14" customFormat="1" x14ac:dyDescent="0.55000000000000004"/>
    <row r="45" s="14" customFormat="1" x14ac:dyDescent="0.55000000000000004"/>
    <row r="46" s="14" customFormat="1" x14ac:dyDescent="0.55000000000000004"/>
    <row r="47" s="14" customFormat="1" x14ac:dyDescent="0.55000000000000004"/>
    <row r="48" s="14" customFormat="1" x14ac:dyDescent="0.55000000000000004"/>
    <row r="49" s="14" customFormat="1" x14ac:dyDescent="0.55000000000000004"/>
    <row r="50" s="14" customFormat="1" x14ac:dyDescent="0.55000000000000004"/>
    <row r="51" s="14" customFormat="1" x14ac:dyDescent="0.55000000000000004"/>
    <row r="52" s="14" customFormat="1" x14ac:dyDescent="0.55000000000000004"/>
    <row r="53" s="14" customFormat="1" x14ac:dyDescent="0.55000000000000004"/>
    <row r="54" s="14" customFormat="1" x14ac:dyDescent="0.55000000000000004"/>
    <row r="55" s="14" customFormat="1" x14ac:dyDescent="0.55000000000000004"/>
    <row r="56" s="14" customFormat="1" x14ac:dyDescent="0.55000000000000004"/>
    <row r="57" s="14" customFormat="1" x14ac:dyDescent="0.55000000000000004"/>
    <row r="58" s="14" customFormat="1" x14ac:dyDescent="0.55000000000000004"/>
    <row r="59" s="14" customFormat="1" x14ac:dyDescent="0.55000000000000004"/>
    <row r="60" s="14" customFormat="1" x14ac:dyDescent="0.55000000000000004"/>
    <row r="61" s="14" customFormat="1" x14ac:dyDescent="0.55000000000000004"/>
    <row r="62" s="14" customFormat="1" x14ac:dyDescent="0.55000000000000004"/>
    <row r="63" s="14" customFormat="1" x14ac:dyDescent="0.55000000000000004"/>
    <row r="64" s="14" customFormat="1" x14ac:dyDescent="0.55000000000000004"/>
    <row r="65" s="14" customFormat="1" x14ac:dyDescent="0.55000000000000004"/>
    <row r="66" s="14" customFormat="1" x14ac:dyDescent="0.55000000000000004"/>
    <row r="67" s="14" customFormat="1" x14ac:dyDescent="0.55000000000000004"/>
    <row r="68" s="14" customFormat="1" x14ac:dyDescent="0.55000000000000004"/>
    <row r="69" s="14" customFormat="1" x14ac:dyDescent="0.55000000000000004"/>
    <row r="70" s="14" customFormat="1" x14ac:dyDescent="0.55000000000000004"/>
    <row r="71" s="14" customFormat="1" x14ac:dyDescent="0.55000000000000004"/>
    <row r="72" s="14" customFormat="1" x14ac:dyDescent="0.55000000000000004"/>
    <row r="73" s="14" customFormat="1" x14ac:dyDescent="0.55000000000000004"/>
    <row r="74" s="14" customFormat="1" x14ac:dyDescent="0.55000000000000004"/>
    <row r="75" s="14" customFormat="1" x14ac:dyDescent="0.55000000000000004"/>
    <row r="76" s="14" customFormat="1" x14ac:dyDescent="0.55000000000000004"/>
    <row r="77" s="14" customFormat="1" x14ac:dyDescent="0.55000000000000004"/>
    <row r="78" s="14" customFormat="1" x14ac:dyDescent="0.55000000000000004"/>
    <row r="79" s="14" customFormat="1" x14ac:dyDescent="0.55000000000000004"/>
    <row r="80" s="14" customFormat="1" x14ac:dyDescent="0.55000000000000004"/>
    <row r="81" s="14" customFormat="1" x14ac:dyDescent="0.55000000000000004"/>
    <row r="82" s="14" customFormat="1" x14ac:dyDescent="0.55000000000000004"/>
    <row r="83" s="14" customFormat="1" x14ac:dyDescent="0.55000000000000004"/>
    <row r="84" s="14" customFormat="1" x14ac:dyDescent="0.55000000000000004"/>
    <row r="85" s="14" customFormat="1" x14ac:dyDescent="0.55000000000000004"/>
    <row r="86" s="14" customFormat="1" x14ac:dyDescent="0.55000000000000004"/>
    <row r="87" s="14" customFormat="1" x14ac:dyDescent="0.55000000000000004"/>
    <row r="88" s="14" customFormat="1" x14ac:dyDescent="0.55000000000000004"/>
    <row r="89" s="14" customFormat="1" x14ac:dyDescent="0.55000000000000004"/>
    <row r="90" s="14" customFormat="1" x14ac:dyDescent="0.55000000000000004"/>
    <row r="91" s="14" customFormat="1" x14ac:dyDescent="0.55000000000000004"/>
    <row r="92" s="14" customFormat="1" x14ac:dyDescent="0.55000000000000004"/>
    <row r="93" s="14" customFormat="1" x14ac:dyDescent="0.55000000000000004"/>
    <row r="94" s="14" customFormat="1" x14ac:dyDescent="0.55000000000000004"/>
    <row r="95" s="14" customFormat="1" x14ac:dyDescent="0.55000000000000004"/>
    <row r="96" s="14" customFormat="1" x14ac:dyDescent="0.55000000000000004"/>
    <row r="97" s="14" customFormat="1" x14ac:dyDescent="0.55000000000000004"/>
    <row r="98" s="14" customFormat="1" x14ac:dyDescent="0.55000000000000004"/>
    <row r="99" s="14" customFormat="1" x14ac:dyDescent="0.55000000000000004"/>
    <row r="100" s="14" customFormat="1" x14ac:dyDescent="0.55000000000000004"/>
    <row r="101" s="14" customFormat="1" x14ac:dyDescent="0.55000000000000004"/>
    <row r="102" s="14" customFormat="1" x14ac:dyDescent="0.55000000000000004"/>
    <row r="103" s="14" customFormat="1" x14ac:dyDescent="0.55000000000000004"/>
    <row r="104" s="14" customFormat="1" x14ac:dyDescent="0.55000000000000004"/>
    <row r="105" s="14" customFormat="1" x14ac:dyDescent="0.55000000000000004"/>
    <row r="106" s="14" customFormat="1" x14ac:dyDescent="0.55000000000000004"/>
    <row r="107" s="14" customFormat="1" x14ac:dyDescent="0.55000000000000004"/>
    <row r="108" s="14" customFormat="1" x14ac:dyDescent="0.55000000000000004"/>
    <row r="109" s="14" customFormat="1" x14ac:dyDescent="0.55000000000000004"/>
    <row r="110" s="14" customFormat="1" x14ac:dyDescent="0.55000000000000004"/>
    <row r="111" s="14" customFormat="1" x14ac:dyDescent="0.55000000000000004"/>
    <row r="112" s="14" customFormat="1" x14ac:dyDescent="0.55000000000000004"/>
    <row r="113" s="14" customFormat="1" x14ac:dyDescent="0.55000000000000004"/>
    <row r="114" s="14" customFormat="1" x14ac:dyDescent="0.55000000000000004"/>
    <row r="115" s="14" customFormat="1" x14ac:dyDescent="0.55000000000000004"/>
    <row r="116" s="14" customFormat="1" x14ac:dyDescent="0.55000000000000004"/>
    <row r="117" s="14" customFormat="1" x14ac:dyDescent="0.55000000000000004"/>
    <row r="118" s="14" customFormat="1" x14ac:dyDescent="0.55000000000000004"/>
    <row r="119" s="14" customFormat="1" x14ac:dyDescent="0.55000000000000004"/>
    <row r="120" s="14" customFormat="1" x14ac:dyDescent="0.55000000000000004"/>
    <row r="121" s="14" customFormat="1" x14ac:dyDescent="0.55000000000000004"/>
    <row r="122" s="14" customFormat="1" x14ac:dyDescent="0.55000000000000004"/>
    <row r="123" s="14" customFormat="1" x14ac:dyDescent="0.55000000000000004"/>
    <row r="124" s="14" customFormat="1" x14ac:dyDescent="0.55000000000000004"/>
    <row r="125" s="14" customFormat="1" x14ac:dyDescent="0.55000000000000004"/>
    <row r="126" s="14" customFormat="1" x14ac:dyDescent="0.55000000000000004"/>
    <row r="127" s="14" customFormat="1" x14ac:dyDescent="0.55000000000000004"/>
    <row r="128" s="14" customFormat="1" x14ac:dyDescent="0.55000000000000004"/>
    <row r="129" s="14" customFormat="1" x14ac:dyDescent="0.55000000000000004"/>
    <row r="130" s="14" customFormat="1" x14ac:dyDescent="0.55000000000000004"/>
    <row r="131" s="14" customFormat="1" x14ac:dyDescent="0.55000000000000004"/>
    <row r="132" s="14" customFormat="1" x14ac:dyDescent="0.55000000000000004"/>
    <row r="133" s="14" customFormat="1" x14ac:dyDescent="0.55000000000000004"/>
    <row r="134" s="14" customFormat="1" x14ac:dyDescent="0.55000000000000004"/>
    <row r="135" s="14" customFormat="1" x14ac:dyDescent="0.55000000000000004"/>
    <row r="136" s="14" customFormat="1" x14ac:dyDescent="0.55000000000000004"/>
    <row r="137" s="14" customFormat="1" x14ac:dyDescent="0.55000000000000004"/>
    <row r="138" s="14" customFormat="1" x14ac:dyDescent="0.55000000000000004"/>
    <row r="139" s="14" customFormat="1" x14ac:dyDescent="0.55000000000000004"/>
    <row r="140" s="14" customFormat="1" x14ac:dyDescent="0.55000000000000004"/>
    <row r="141" s="14" customFormat="1" x14ac:dyDescent="0.55000000000000004"/>
    <row r="142" s="14" customFormat="1" x14ac:dyDescent="0.55000000000000004"/>
    <row r="143" s="14" customFormat="1" x14ac:dyDescent="0.55000000000000004"/>
    <row r="144" s="14" customFormat="1" x14ac:dyDescent="0.55000000000000004"/>
    <row r="145" s="14" customFormat="1" x14ac:dyDescent="0.55000000000000004"/>
    <row r="146" s="14" customFormat="1" x14ac:dyDescent="0.55000000000000004"/>
    <row r="147" s="14" customFormat="1" x14ac:dyDescent="0.55000000000000004"/>
    <row r="148" s="14" customFormat="1" x14ac:dyDescent="0.55000000000000004"/>
    <row r="149" s="14" customFormat="1" x14ac:dyDescent="0.55000000000000004"/>
    <row r="150" s="14" customFormat="1" x14ac:dyDescent="0.55000000000000004"/>
    <row r="151" s="14" customFormat="1" x14ac:dyDescent="0.55000000000000004"/>
    <row r="152" s="14" customFormat="1" x14ac:dyDescent="0.55000000000000004"/>
    <row r="153" s="14" customFormat="1" x14ac:dyDescent="0.55000000000000004"/>
    <row r="154" s="14" customFormat="1" x14ac:dyDescent="0.55000000000000004"/>
    <row r="155" s="14" customFormat="1" x14ac:dyDescent="0.55000000000000004"/>
    <row r="156" s="14" customFormat="1" x14ac:dyDescent="0.55000000000000004"/>
    <row r="157" s="14" customFormat="1" x14ac:dyDescent="0.55000000000000004"/>
    <row r="158" s="14" customFormat="1" x14ac:dyDescent="0.55000000000000004"/>
    <row r="159" s="14" customFormat="1" x14ac:dyDescent="0.55000000000000004"/>
    <row r="160" s="14" customFormat="1" x14ac:dyDescent="0.55000000000000004"/>
    <row r="161" s="14" customFormat="1" x14ac:dyDescent="0.55000000000000004"/>
    <row r="162" s="14" customFormat="1" x14ac:dyDescent="0.55000000000000004"/>
    <row r="163" s="14" customFormat="1" x14ac:dyDescent="0.55000000000000004"/>
    <row r="164" s="14" customFormat="1" x14ac:dyDescent="0.55000000000000004"/>
    <row r="165" s="14" customFormat="1" x14ac:dyDescent="0.55000000000000004"/>
    <row r="166" s="14" customFormat="1" x14ac:dyDescent="0.55000000000000004"/>
    <row r="167" s="14" customFormat="1" x14ac:dyDescent="0.55000000000000004"/>
    <row r="168" s="14" customFormat="1" x14ac:dyDescent="0.55000000000000004"/>
    <row r="169" s="14" customFormat="1" x14ac:dyDescent="0.55000000000000004"/>
    <row r="170" s="14" customFormat="1" x14ac:dyDescent="0.55000000000000004"/>
    <row r="171" s="14" customFormat="1" x14ac:dyDescent="0.55000000000000004"/>
    <row r="172" s="14" customFormat="1" x14ac:dyDescent="0.55000000000000004"/>
    <row r="173" s="14" customFormat="1" x14ac:dyDescent="0.55000000000000004"/>
    <row r="174" s="14" customFormat="1" x14ac:dyDescent="0.55000000000000004"/>
    <row r="175" s="14" customFormat="1" x14ac:dyDescent="0.55000000000000004"/>
    <row r="176" s="14" customFormat="1" x14ac:dyDescent="0.55000000000000004"/>
    <row r="177" s="14" customFormat="1" x14ac:dyDescent="0.55000000000000004"/>
    <row r="178" s="14" customFormat="1" x14ac:dyDescent="0.55000000000000004"/>
    <row r="179" s="14" customFormat="1" x14ac:dyDescent="0.55000000000000004"/>
  </sheetData>
  <mergeCells count="2">
    <mergeCell ref="P3:Q3"/>
    <mergeCell ref="L3:M3"/>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DE4B-1860-4BC6-864F-B5DFB0DD9B78}">
  <dimension ref="A1:K184"/>
  <sheetViews>
    <sheetView showGridLines="0" zoomScaleNormal="100" workbookViewId="0">
      <pane xSplit="2" ySplit="2" topLeftCell="C9" activePane="bottomRight" state="frozen"/>
      <selection pane="topRight" activeCell="C1" sqref="C1"/>
      <selection pane="bottomLeft" activeCell="A3" sqref="A3"/>
      <selection pane="bottomRight" activeCell="C9" sqref="C9"/>
    </sheetView>
  </sheetViews>
  <sheetFormatPr defaultColWidth="3.33203125" defaultRowHeight="14.5" x14ac:dyDescent="0.55000000000000004"/>
  <cols>
    <col min="1" max="2" width="5.58203125" style="1" customWidth="1"/>
    <col min="3" max="3" width="27" style="1" bestFit="1" customWidth="1"/>
    <col min="4" max="4" width="28.5" style="1" bestFit="1" customWidth="1"/>
    <col min="5" max="5" width="66.83203125" style="1" bestFit="1" customWidth="1"/>
    <col min="6" max="6" width="23.5" style="1" bestFit="1" customWidth="1"/>
    <col min="7" max="8" width="5.6640625" style="1" bestFit="1" customWidth="1"/>
    <col min="9" max="9" width="7.25" style="42" customWidth="1"/>
    <col min="10" max="10" width="66.6640625" style="1" bestFit="1" customWidth="1"/>
    <col min="11" max="11" width="61.58203125" style="1" bestFit="1" customWidth="1"/>
    <col min="12" max="12" width="5.58203125" style="1" bestFit="1" customWidth="1"/>
    <col min="13" max="13" width="16.58203125" style="1" bestFit="1" customWidth="1"/>
    <col min="14" max="14" width="7.08203125" style="1" bestFit="1" customWidth="1"/>
    <col min="15" max="15" width="4.08203125" style="1" bestFit="1" customWidth="1"/>
    <col min="16" max="16384" width="3.33203125" style="1"/>
  </cols>
  <sheetData>
    <row r="1" spans="1:11" ht="17.5" x14ac:dyDescent="0.55000000000000004">
      <c r="A1" s="9" t="s">
        <v>0</v>
      </c>
      <c r="B1" s="9"/>
      <c r="F1" s="10" t="s">
        <v>1</v>
      </c>
      <c r="G1" s="10"/>
      <c r="H1" s="10"/>
      <c r="I1" s="41"/>
    </row>
    <row r="2" spans="1:11" ht="44" thickBot="1" x14ac:dyDescent="0.6">
      <c r="A2" s="17" t="s">
        <v>2</v>
      </c>
      <c r="B2" s="17"/>
      <c r="C2" s="17" t="s">
        <v>3</v>
      </c>
      <c r="D2" s="17" t="s">
        <v>4</v>
      </c>
      <c r="E2" s="17" t="s">
        <v>5</v>
      </c>
      <c r="F2" s="17" t="s">
        <v>6</v>
      </c>
      <c r="G2" s="88" t="s">
        <v>846</v>
      </c>
      <c r="H2" s="88" t="s">
        <v>847</v>
      </c>
      <c r="I2" s="52" t="s">
        <v>825</v>
      </c>
      <c r="J2" s="47" t="s">
        <v>803</v>
      </c>
    </row>
    <row r="3" spans="1:11" hidden="1" x14ac:dyDescent="0.55000000000000004">
      <c r="A3" s="11">
        <f>ROW()-2</f>
        <v>1</v>
      </c>
      <c r="B3" s="11" t="str">
        <f>IF(ISERROR(VLOOKUP(C3,'ジョブ一覧(概要)'!$C$3:$I$23,6,FALSE)),"",VLOOKUP(C3,'ジョブ一覧(概要)'!$C$3:$I$23,6,FALSE))</f>
        <v/>
      </c>
      <c r="C3" s="11" t="s">
        <v>7</v>
      </c>
      <c r="D3" s="11" t="s">
        <v>8</v>
      </c>
      <c r="E3" s="11" t="s">
        <v>9</v>
      </c>
      <c r="F3" s="11" t="s">
        <v>10</v>
      </c>
      <c r="G3" s="43"/>
      <c r="H3" s="43"/>
      <c r="I3" s="48"/>
      <c r="J3" s="45"/>
      <c r="K3" s="2" t="s">
        <v>11</v>
      </c>
    </row>
    <row r="4" spans="1:11" hidden="1" x14ac:dyDescent="0.55000000000000004">
      <c r="A4" s="11">
        <f t="shared" ref="A4:A67" si="0">ROW()-2</f>
        <v>2</v>
      </c>
      <c r="B4" s="11" t="str">
        <f>IF(ISERROR(VLOOKUP(C4,'ジョブ一覧(概要)'!$C$3:$I$23,6,FALSE)),"",VLOOKUP(C4,'ジョブ一覧(概要)'!$C$3:$I$23,6,FALSE))</f>
        <v/>
      </c>
      <c r="C4" s="11" t="s">
        <v>7</v>
      </c>
      <c r="D4" s="11" t="s">
        <v>12</v>
      </c>
      <c r="E4" s="11" t="s">
        <v>9</v>
      </c>
      <c r="F4" s="11" t="s">
        <v>10</v>
      </c>
      <c r="G4" s="87"/>
      <c r="H4" s="87"/>
      <c r="I4" s="49"/>
      <c r="J4" s="46"/>
      <c r="K4" s="3" t="s">
        <v>13</v>
      </c>
    </row>
    <row r="5" spans="1:11" hidden="1" x14ac:dyDescent="0.55000000000000004">
      <c r="A5" s="11">
        <f t="shared" si="0"/>
        <v>3</v>
      </c>
      <c r="B5" s="11" t="str">
        <f>IF(ISERROR(VLOOKUP(C5,'ジョブ一覧(概要)'!$C$3:$I$23,6,FALSE)),"",VLOOKUP(C5,'ジョブ一覧(概要)'!$C$3:$I$23,6,FALSE))</f>
        <v/>
      </c>
      <c r="C5" s="11" t="s">
        <v>7</v>
      </c>
      <c r="D5" s="11" t="s">
        <v>14</v>
      </c>
      <c r="E5" s="11" t="s">
        <v>15</v>
      </c>
      <c r="F5" s="11" t="s">
        <v>10</v>
      </c>
      <c r="G5" s="87"/>
      <c r="H5" s="87"/>
      <c r="I5" s="49"/>
      <c r="J5" s="46"/>
    </row>
    <row r="6" spans="1:11" hidden="1" x14ac:dyDescent="0.55000000000000004">
      <c r="A6" s="11">
        <f t="shared" si="0"/>
        <v>4</v>
      </c>
      <c r="B6" s="11" t="str">
        <f>IF(ISERROR(VLOOKUP(C6,'ジョブ一覧(概要)'!$C$3:$I$23,6,FALSE)),"",VLOOKUP(C6,'ジョブ一覧(概要)'!$C$3:$I$23,6,FALSE))</f>
        <v/>
      </c>
      <c r="C6" s="11" t="s">
        <v>7</v>
      </c>
      <c r="D6" s="11" t="s">
        <v>16</v>
      </c>
      <c r="E6" s="11" t="s">
        <v>17</v>
      </c>
      <c r="F6" s="11" t="s">
        <v>10</v>
      </c>
      <c r="G6" s="87"/>
      <c r="H6" s="87"/>
      <c r="I6" s="49"/>
      <c r="J6" s="46"/>
      <c r="K6" s="1" t="s">
        <v>18</v>
      </c>
    </row>
    <row r="7" spans="1:11" hidden="1" x14ac:dyDescent="0.55000000000000004">
      <c r="A7" s="11">
        <f t="shared" si="0"/>
        <v>5</v>
      </c>
      <c r="B7" s="11" t="str">
        <f>IF(ISERROR(VLOOKUP(C7,'ジョブ一覧(概要)'!$C$3:$I$23,6,FALSE)),"",VLOOKUP(C7,'ジョブ一覧(概要)'!$C$3:$I$23,6,FALSE))</f>
        <v/>
      </c>
      <c r="C7" s="11" t="s">
        <v>7</v>
      </c>
      <c r="D7" s="11" t="s">
        <v>19</v>
      </c>
      <c r="E7" s="11" t="s">
        <v>20</v>
      </c>
      <c r="F7" s="11" t="s">
        <v>10</v>
      </c>
      <c r="G7" s="87"/>
      <c r="H7" s="87"/>
      <c r="I7" s="49"/>
      <c r="J7" s="46"/>
    </row>
    <row r="8" spans="1:11" ht="15" hidden="1" thickBot="1" x14ac:dyDescent="0.6">
      <c r="A8" s="43">
        <f t="shared" si="0"/>
        <v>6</v>
      </c>
      <c r="B8" s="43" t="str">
        <f>IF(ISERROR(VLOOKUP(C8,'ジョブ一覧(概要)'!$C$3:$I$23,6,FALSE)),"",VLOOKUP(C8,'ジョブ一覧(概要)'!$C$3:$I$23,6,FALSE))</f>
        <v/>
      </c>
      <c r="C8" s="43" t="s">
        <v>7</v>
      </c>
      <c r="D8" s="43" t="s">
        <v>21</v>
      </c>
      <c r="E8" s="43" t="s">
        <v>22</v>
      </c>
      <c r="F8" s="43" t="s">
        <v>10</v>
      </c>
      <c r="G8" s="87"/>
      <c r="H8" s="87"/>
      <c r="I8" s="49"/>
      <c r="J8" s="46"/>
    </row>
    <row r="9" spans="1:11" x14ac:dyDescent="0.55000000000000004">
      <c r="A9" s="72">
        <f t="shared" si="0"/>
        <v>7</v>
      </c>
      <c r="B9" s="65" t="str">
        <f>IF(ISERROR(VLOOKUP(C9,'ジョブ一覧(概要)'!$C$3:$I$23,6,FALSE)),"",VLOOKUP(C9,'ジョブ一覧(概要)'!$C$3:$I$23,6,FALSE))</f>
        <v>JP1⑤</v>
      </c>
      <c r="C9" s="65" t="s">
        <v>23</v>
      </c>
      <c r="D9" s="65" t="s">
        <v>24</v>
      </c>
      <c r="E9" s="65" t="s">
        <v>25</v>
      </c>
      <c r="F9" s="65" t="s">
        <v>10</v>
      </c>
      <c r="G9" s="89"/>
      <c r="H9" s="89"/>
      <c r="I9" s="66"/>
      <c r="J9" s="56" t="s">
        <v>804</v>
      </c>
    </row>
    <row r="10" spans="1:11" x14ac:dyDescent="0.55000000000000004">
      <c r="A10" s="68">
        <f t="shared" si="0"/>
        <v>8</v>
      </c>
      <c r="B10" s="12" t="str">
        <f>IF(ISERROR(VLOOKUP(C10,'ジョブ一覧(概要)'!$C$3:$I$23,6,FALSE)),"",VLOOKUP(C10,'ジョブ一覧(概要)'!$C$3:$I$23,6,FALSE))</f>
        <v>JP1⑤</v>
      </c>
      <c r="C10" s="12" t="s">
        <v>23</v>
      </c>
      <c r="D10" s="12" t="s">
        <v>26</v>
      </c>
      <c r="E10" s="12" t="s">
        <v>27</v>
      </c>
      <c r="F10" s="12" t="s">
        <v>10</v>
      </c>
      <c r="G10" s="90"/>
      <c r="H10" s="90"/>
      <c r="I10" s="50" t="s">
        <v>819</v>
      </c>
      <c r="J10" s="58"/>
    </row>
    <row r="11" spans="1:11" x14ac:dyDescent="0.55000000000000004">
      <c r="A11" s="67">
        <f t="shared" si="0"/>
        <v>9</v>
      </c>
      <c r="B11" s="11" t="str">
        <f>IF(ISERROR(VLOOKUP(C11,'ジョブ一覧(概要)'!$C$3:$I$23,6,FALSE)),"",VLOOKUP(C11,'ジョブ一覧(概要)'!$C$3:$I$23,6,FALSE))</f>
        <v>JP1⑤</v>
      </c>
      <c r="C11" s="11" t="s">
        <v>23</v>
      </c>
      <c r="D11" s="11" t="s">
        <v>28</v>
      </c>
      <c r="E11" s="11" t="s">
        <v>29</v>
      </c>
      <c r="F11" s="11" t="s">
        <v>10</v>
      </c>
      <c r="G11" s="90"/>
      <c r="H11" s="90"/>
      <c r="I11" s="50" t="s">
        <v>819</v>
      </c>
      <c r="J11" s="58"/>
    </row>
    <row r="12" spans="1:11" x14ac:dyDescent="0.55000000000000004">
      <c r="A12" s="67">
        <f t="shared" si="0"/>
        <v>10</v>
      </c>
      <c r="B12" s="11" t="str">
        <f>IF(ISERROR(VLOOKUP(C12,'ジョブ一覧(概要)'!$C$3:$I$23,6,FALSE)),"",VLOOKUP(C12,'ジョブ一覧(概要)'!$C$3:$I$23,6,FALSE))</f>
        <v>JP1⑤</v>
      </c>
      <c r="C12" s="11" t="s">
        <v>23</v>
      </c>
      <c r="D12" s="11" t="s">
        <v>30</v>
      </c>
      <c r="E12" s="11" t="s">
        <v>31</v>
      </c>
      <c r="F12" s="11" t="s">
        <v>10</v>
      </c>
      <c r="G12" s="90"/>
      <c r="H12" s="90"/>
      <c r="I12" s="50" t="s">
        <v>819</v>
      </c>
      <c r="J12" s="58"/>
    </row>
    <row r="13" spans="1:11" x14ac:dyDescent="0.55000000000000004">
      <c r="A13" s="68">
        <f t="shared" si="0"/>
        <v>11</v>
      </c>
      <c r="B13" s="12" t="str">
        <f>IF(ISERROR(VLOOKUP(C13,'ジョブ一覧(概要)'!$C$3:$I$23,6,FALSE)),"",VLOOKUP(C13,'ジョブ一覧(概要)'!$C$3:$I$23,6,FALSE))</f>
        <v>JP1⑤</v>
      </c>
      <c r="C13" s="12" t="s">
        <v>23</v>
      </c>
      <c r="D13" s="12" t="s">
        <v>32</v>
      </c>
      <c r="E13" s="12" t="s">
        <v>33</v>
      </c>
      <c r="F13" s="12" t="s">
        <v>10</v>
      </c>
      <c r="G13" s="90"/>
      <c r="H13" s="90"/>
      <c r="I13" s="50" t="s">
        <v>819</v>
      </c>
      <c r="J13" s="58"/>
    </row>
    <row r="14" spans="1:11" x14ac:dyDescent="0.55000000000000004">
      <c r="A14" s="67">
        <f t="shared" si="0"/>
        <v>12</v>
      </c>
      <c r="B14" s="11" t="str">
        <f>IF(ISERROR(VLOOKUP(C14,'ジョブ一覧(概要)'!$C$3:$I$23,6,FALSE)),"",VLOOKUP(C14,'ジョブ一覧(概要)'!$C$3:$I$23,6,FALSE))</f>
        <v>JP1⑤</v>
      </c>
      <c r="C14" s="11" t="s">
        <v>23</v>
      </c>
      <c r="D14" s="11" t="s">
        <v>34</v>
      </c>
      <c r="E14" s="11" t="s">
        <v>35</v>
      </c>
      <c r="F14" s="11" t="s">
        <v>10</v>
      </c>
      <c r="G14" s="90"/>
      <c r="H14" s="90"/>
      <c r="I14" s="50" t="s">
        <v>819</v>
      </c>
      <c r="J14" s="58"/>
    </row>
    <row r="15" spans="1:11" x14ac:dyDescent="0.55000000000000004">
      <c r="A15" s="67">
        <f t="shared" si="0"/>
        <v>13</v>
      </c>
      <c r="B15" s="11" t="str">
        <f>IF(ISERROR(VLOOKUP(C15,'ジョブ一覧(概要)'!$C$3:$I$23,6,FALSE)),"",VLOOKUP(C15,'ジョブ一覧(概要)'!$C$3:$I$23,6,FALSE))</f>
        <v>JP1⑤</v>
      </c>
      <c r="C15" s="11" t="s">
        <v>23</v>
      </c>
      <c r="D15" s="11" t="s">
        <v>36</v>
      </c>
      <c r="E15" s="11" t="s">
        <v>37</v>
      </c>
      <c r="F15" s="11" t="s">
        <v>10</v>
      </c>
      <c r="G15" s="90"/>
      <c r="H15" s="90"/>
      <c r="I15" s="50" t="s">
        <v>819</v>
      </c>
      <c r="J15" s="58"/>
    </row>
    <row r="16" spans="1:11" x14ac:dyDescent="0.55000000000000004">
      <c r="A16" s="67">
        <f t="shared" si="0"/>
        <v>14</v>
      </c>
      <c r="B16" s="11" t="str">
        <f>IF(ISERROR(VLOOKUP(C16,'ジョブ一覧(概要)'!$C$3:$I$23,6,FALSE)),"",VLOOKUP(C16,'ジョブ一覧(概要)'!$C$3:$I$23,6,FALSE))</f>
        <v>JP1⑤</v>
      </c>
      <c r="C16" s="11" t="s">
        <v>23</v>
      </c>
      <c r="D16" s="11" t="s">
        <v>38</v>
      </c>
      <c r="E16" s="11" t="s">
        <v>39</v>
      </c>
      <c r="F16" s="11" t="s">
        <v>10</v>
      </c>
      <c r="G16" s="90"/>
      <c r="H16" s="90"/>
      <c r="I16" s="50" t="s">
        <v>819</v>
      </c>
      <c r="J16" s="58"/>
    </row>
    <row r="17" spans="1:10" x14ac:dyDescent="0.55000000000000004">
      <c r="A17" s="67">
        <f t="shared" si="0"/>
        <v>15</v>
      </c>
      <c r="B17" s="11" t="str">
        <f>IF(ISERROR(VLOOKUP(C17,'ジョブ一覧(概要)'!$C$3:$I$23,6,FALSE)),"",VLOOKUP(C17,'ジョブ一覧(概要)'!$C$3:$I$23,6,FALSE))</f>
        <v>JP1⑤</v>
      </c>
      <c r="C17" s="11" t="s">
        <v>23</v>
      </c>
      <c r="D17" s="11" t="s">
        <v>40</v>
      </c>
      <c r="E17" s="11" t="s">
        <v>41</v>
      </c>
      <c r="F17" s="11" t="s">
        <v>10</v>
      </c>
      <c r="G17" s="90"/>
      <c r="H17" s="90"/>
      <c r="I17" s="50" t="s">
        <v>819</v>
      </c>
      <c r="J17" s="58"/>
    </row>
    <row r="18" spans="1:10" x14ac:dyDescent="0.55000000000000004">
      <c r="A18" s="67">
        <f t="shared" si="0"/>
        <v>16</v>
      </c>
      <c r="B18" s="11" t="str">
        <f>IF(ISERROR(VLOOKUP(C18,'ジョブ一覧(概要)'!$C$3:$I$23,6,FALSE)),"",VLOOKUP(C18,'ジョブ一覧(概要)'!$C$3:$I$23,6,FALSE))</f>
        <v>JP1⑤</v>
      </c>
      <c r="C18" s="11" t="s">
        <v>23</v>
      </c>
      <c r="D18" s="11" t="s">
        <v>42</v>
      </c>
      <c r="E18" s="11" t="s">
        <v>43</v>
      </c>
      <c r="F18" s="11" t="s">
        <v>10</v>
      </c>
      <c r="G18" s="90"/>
      <c r="H18" s="90"/>
      <c r="I18" s="50" t="s">
        <v>819</v>
      </c>
      <c r="J18" s="58"/>
    </row>
    <row r="19" spans="1:10" x14ac:dyDescent="0.55000000000000004">
      <c r="A19" s="68">
        <f t="shared" si="0"/>
        <v>17</v>
      </c>
      <c r="B19" s="12" t="str">
        <f>IF(ISERROR(VLOOKUP(C19,'ジョブ一覧(概要)'!$C$3:$I$23,6,FALSE)),"",VLOOKUP(C19,'ジョブ一覧(概要)'!$C$3:$I$23,6,FALSE))</f>
        <v>JP1⑤</v>
      </c>
      <c r="C19" s="12" t="s">
        <v>23</v>
      </c>
      <c r="D19" s="12" t="s">
        <v>44</v>
      </c>
      <c r="E19" s="12" t="s">
        <v>45</v>
      </c>
      <c r="F19" s="12" t="s">
        <v>10</v>
      </c>
      <c r="G19" s="90"/>
      <c r="H19" s="90"/>
      <c r="I19" s="50" t="s">
        <v>819</v>
      </c>
      <c r="J19" s="58" t="s">
        <v>820</v>
      </c>
    </row>
    <row r="20" spans="1:10" x14ac:dyDescent="0.55000000000000004">
      <c r="A20" s="68">
        <f t="shared" si="0"/>
        <v>18</v>
      </c>
      <c r="B20" s="12" t="str">
        <f>IF(ISERROR(VLOOKUP(C20,'ジョブ一覧(概要)'!$C$3:$I$23,6,FALSE)),"",VLOOKUP(C20,'ジョブ一覧(概要)'!$C$3:$I$23,6,FALSE))</f>
        <v>JP1⑤</v>
      </c>
      <c r="C20" s="12" t="s">
        <v>23</v>
      </c>
      <c r="D20" s="12" t="s">
        <v>46</v>
      </c>
      <c r="E20" s="12" t="s">
        <v>47</v>
      </c>
      <c r="F20" s="12" t="s">
        <v>10</v>
      </c>
      <c r="G20" s="90"/>
      <c r="H20" s="90"/>
      <c r="I20" s="50"/>
      <c r="J20" s="58" t="s">
        <v>821</v>
      </c>
    </row>
    <row r="21" spans="1:10" x14ac:dyDescent="0.55000000000000004">
      <c r="A21" s="68">
        <f t="shared" si="0"/>
        <v>19</v>
      </c>
      <c r="B21" s="12" t="str">
        <f>IF(ISERROR(VLOOKUP(C21,'ジョブ一覧(概要)'!$C$3:$I$23,6,FALSE)),"",VLOOKUP(C21,'ジョブ一覧(概要)'!$C$3:$I$23,6,FALSE))</f>
        <v>JP1⑤</v>
      </c>
      <c r="C21" s="12" t="s">
        <v>23</v>
      </c>
      <c r="D21" s="12" t="s">
        <v>48</v>
      </c>
      <c r="E21" s="12" t="s">
        <v>49</v>
      </c>
      <c r="F21" s="12" t="s">
        <v>10</v>
      </c>
      <c r="G21" s="90"/>
      <c r="H21" s="90"/>
      <c r="I21" s="50"/>
      <c r="J21" s="58" t="s">
        <v>822</v>
      </c>
    </row>
    <row r="22" spans="1:10" x14ac:dyDescent="0.55000000000000004">
      <c r="A22" s="68">
        <f t="shared" si="0"/>
        <v>20</v>
      </c>
      <c r="B22" s="12" t="str">
        <f>IF(ISERROR(VLOOKUP(C22,'ジョブ一覧(概要)'!$C$3:$I$23,6,FALSE)),"",VLOOKUP(C22,'ジョブ一覧(概要)'!$C$3:$I$23,6,FALSE))</f>
        <v>JP1⑤</v>
      </c>
      <c r="C22" s="12" t="s">
        <v>23</v>
      </c>
      <c r="D22" s="12" t="s">
        <v>50</v>
      </c>
      <c r="E22" s="12" t="s">
        <v>51</v>
      </c>
      <c r="F22" s="12" t="s">
        <v>10</v>
      </c>
      <c r="G22" s="90"/>
      <c r="H22" s="90"/>
      <c r="I22" s="50"/>
      <c r="J22" s="58" t="s">
        <v>823</v>
      </c>
    </row>
    <row r="23" spans="1:10" x14ac:dyDescent="0.55000000000000004">
      <c r="A23" s="68">
        <f t="shared" si="0"/>
        <v>21</v>
      </c>
      <c r="B23" s="12" t="str">
        <f>IF(ISERROR(VLOOKUP(C23,'ジョブ一覧(概要)'!$C$3:$I$23,6,FALSE)),"",VLOOKUP(C23,'ジョブ一覧(概要)'!$C$3:$I$23,6,FALSE))</f>
        <v>JP1⑤</v>
      </c>
      <c r="C23" s="12" t="s">
        <v>23</v>
      </c>
      <c r="D23" s="12" t="s">
        <v>52</v>
      </c>
      <c r="E23" s="12" t="s">
        <v>53</v>
      </c>
      <c r="F23" s="12" t="s">
        <v>10</v>
      </c>
      <c r="G23" s="90"/>
      <c r="H23" s="90"/>
      <c r="I23" s="50"/>
      <c r="J23" s="58" t="s">
        <v>824</v>
      </c>
    </row>
    <row r="24" spans="1:10" x14ac:dyDescent="0.55000000000000004">
      <c r="A24" s="67">
        <f t="shared" si="0"/>
        <v>22</v>
      </c>
      <c r="B24" s="11" t="str">
        <f>IF(ISERROR(VLOOKUP(C24,'ジョブ一覧(概要)'!$C$3:$I$23,6,FALSE)),"",VLOOKUP(C24,'ジョブ一覧(概要)'!$C$3:$I$23,6,FALSE))</f>
        <v>JP1⑤</v>
      </c>
      <c r="C24" s="11" t="s">
        <v>23</v>
      </c>
      <c r="D24" s="11" t="s">
        <v>54</v>
      </c>
      <c r="E24" s="11" t="s">
        <v>55</v>
      </c>
      <c r="F24" s="11" t="s">
        <v>10</v>
      </c>
      <c r="G24" s="90"/>
      <c r="H24" s="90"/>
      <c r="I24" s="49" t="s">
        <v>819</v>
      </c>
      <c r="J24" s="58" t="s">
        <v>817</v>
      </c>
    </row>
    <row r="25" spans="1:10" x14ac:dyDescent="0.55000000000000004">
      <c r="A25" s="67">
        <f t="shared" si="0"/>
        <v>23</v>
      </c>
      <c r="B25" s="11" t="str">
        <f>IF(ISERROR(VLOOKUP(C25,'ジョブ一覧(概要)'!$C$3:$I$23,6,FALSE)),"",VLOOKUP(C25,'ジョブ一覧(概要)'!$C$3:$I$23,6,FALSE))</f>
        <v>JP1⑤</v>
      </c>
      <c r="C25" s="11" t="s">
        <v>23</v>
      </c>
      <c r="D25" s="11" t="s">
        <v>56</v>
      </c>
      <c r="E25" s="11" t="s">
        <v>57</v>
      </c>
      <c r="F25" s="11" t="s">
        <v>10</v>
      </c>
      <c r="G25" s="90"/>
      <c r="H25" s="90"/>
      <c r="I25" s="49" t="s">
        <v>819</v>
      </c>
      <c r="J25" s="58" t="s">
        <v>818</v>
      </c>
    </row>
    <row r="26" spans="1:10" x14ac:dyDescent="0.55000000000000004">
      <c r="A26" s="67">
        <f t="shared" si="0"/>
        <v>24</v>
      </c>
      <c r="B26" s="11" t="str">
        <f>IF(ISERROR(VLOOKUP(C26,'ジョブ一覧(概要)'!$C$3:$I$23,6,FALSE)),"",VLOOKUP(C26,'ジョブ一覧(概要)'!$C$3:$I$23,6,FALSE))</f>
        <v>JP1⑤</v>
      </c>
      <c r="C26" s="11" t="s">
        <v>23</v>
      </c>
      <c r="D26" s="11" t="s">
        <v>58</v>
      </c>
      <c r="E26" s="11" t="s">
        <v>59</v>
      </c>
      <c r="F26" s="11" t="s">
        <v>10</v>
      </c>
      <c r="G26" s="90"/>
      <c r="H26" s="90"/>
      <c r="I26" s="49"/>
      <c r="J26" s="58" t="s">
        <v>816</v>
      </c>
    </row>
    <row r="27" spans="1:10" x14ac:dyDescent="0.55000000000000004">
      <c r="A27" s="68">
        <f t="shared" si="0"/>
        <v>25</v>
      </c>
      <c r="B27" s="12" t="str">
        <f>IF(ISERROR(VLOOKUP(C27,'ジョブ一覧(概要)'!$C$3:$I$23,6,FALSE)),"",VLOOKUP(C27,'ジョブ一覧(概要)'!$C$3:$I$23,6,FALSE))</f>
        <v>JP1⑤</v>
      </c>
      <c r="C27" s="12" t="s">
        <v>23</v>
      </c>
      <c r="D27" s="12" t="s">
        <v>60</v>
      </c>
      <c r="E27" s="12" t="s">
        <v>61</v>
      </c>
      <c r="F27" s="12" t="s">
        <v>10</v>
      </c>
      <c r="G27" s="90"/>
      <c r="H27" s="90"/>
      <c r="I27" s="50"/>
      <c r="J27" s="58" t="s">
        <v>811</v>
      </c>
    </row>
    <row r="28" spans="1:10" x14ac:dyDescent="0.55000000000000004">
      <c r="A28" s="68">
        <f t="shared" si="0"/>
        <v>26</v>
      </c>
      <c r="B28" s="12" t="str">
        <f>IF(ISERROR(VLOOKUP(C28,'ジョブ一覧(概要)'!$C$3:$I$23,6,FALSE)),"",VLOOKUP(C28,'ジョブ一覧(概要)'!$C$3:$I$23,6,FALSE))</f>
        <v>JP1⑤</v>
      </c>
      <c r="C28" s="12" t="s">
        <v>23</v>
      </c>
      <c r="D28" s="12" t="s">
        <v>62</v>
      </c>
      <c r="E28" s="12" t="s">
        <v>63</v>
      </c>
      <c r="F28" s="12" t="s">
        <v>10</v>
      </c>
      <c r="G28" s="90"/>
      <c r="H28" s="90"/>
      <c r="I28" s="50"/>
      <c r="J28" s="58" t="s">
        <v>812</v>
      </c>
    </row>
    <row r="29" spans="1:10" x14ac:dyDescent="0.55000000000000004">
      <c r="A29" s="68">
        <f t="shared" si="0"/>
        <v>27</v>
      </c>
      <c r="B29" s="12" t="str">
        <f>IF(ISERROR(VLOOKUP(C29,'ジョブ一覧(概要)'!$C$3:$I$23,6,FALSE)),"",VLOOKUP(C29,'ジョブ一覧(概要)'!$C$3:$I$23,6,FALSE))</f>
        <v>JP1⑤</v>
      </c>
      <c r="C29" s="12" t="s">
        <v>23</v>
      </c>
      <c r="D29" s="12" t="s">
        <v>64</v>
      </c>
      <c r="E29" s="12" t="s">
        <v>65</v>
      </c>
      <c r="F29" s="12" t="s">
        <v>10</v>
      </c>
      <c r="G29" s="90"/>
      <c r="H29" s="90"/>
      <c r="I29" s="50"/>
      <c r="J29" s="58" t="s">
        <v>812</v>
      </c>
    </row>
    <row r="30" spans="1:10" x14ac:dyDescent="0.55000000000000004">
      <c r="A30" s="68">
        <f t="shared" si="0"/>
        <v>28</v>
      </c>
      <c r="B30" s="12" t="str">
        <f>IF(ISERROR(VLOOKUP(C30,'ジョブ一覧(概要)'!$C$3:$I$23,6,FALSE)),"",VLOOKUP(C30,'ジョブ一覧(概要)'!$C$3:$I$23,6,FALSE))</f>
        <v>JP1⑤</v>
      </c>
      <c r="C30" s="12" t="s">
        <v>23</v>
      </c>
      <c r="D30" s="12" t="s">
        <v>66</v>
      </c>
      <c r="E30" s="12" t="s">
        <v>67</v>
      </c>
      <c r="F30" s="12" t="s">
        <v>10</v>
      </c>
      <c r="G30" s="90"/>
      <c r="H30" s="90"/>
      <c r="I30" s="50"/>
      <c r="J30" s="58" t="s">
        <v>813</v>
      </c>
    </row>
    <row r="31" spans="1:10" x14ac:dyDescent="0.55000000000000004">
      <c r="A31" s="68">
        <f t="shared" si="0"/>
        <v>29</v>
      </c>
      <c r="B31" s="12" t="str">
        <f>IF(ISERROR(VLOOKUP(C31,'ジョブ一覧(概要)'!$C$3:$I$23,6,FALSE)),"",VLOOKUP(C31,'ジョブ一覧(概要)'!$C$3:$I$23,6,FALSE))</f>
        <v>JP1⑤</v>
      </c>
      <c r="C31" s="12" t="s">
        <v>23</v>
      </c>
      <c r="D31" s="12" t="s">
        <v>68</v>
      </c>
      <c r="E31" s="12" t="s">
        <v>69</v>
      </c>
      <c r="F31" s="12" t="s">
        <v>10</v>
      </c>
      <c r="G31" s="90"/>
      <c r="H31" s="90"/>
      <c r="I31" s="50"/>
      <c r="J31" s="58" t="s">
        <v>814</v>
      </c>
    </row>
    <row r="32" spans="1:10" x14ac:dyDescent="0.55000000000000004">
      <c r="A32" s="68">
        <f t="shared" si="0"/>
        <v>30</v>
      </c>
      <c r="B32" s="12" t="str">
        <f>IF(ISERROR(VLOOKUP(C32,'ジョブ一覧(概要)'!$C$3:$I$23,6,FALSE)),"",VLOOKUP(C32,'ジョブ一覧(概要)'!$C$3:$I$23,6,FALSE))</f>
        <v>JP1⑤</v>
      </c>
      <c r="C32" s="12" t="s">
        <v>23</v>
      </c>
      <c r="D32" s="12" t="s">
        <v>70</v>
      </c>
      <c r="E32" s="12" t="s">
        <v>71</v>
      </c>
      <c r="F32" s="12" t="s">
        <v>10</v>
      </c>
      <c r="G32" s="90"/>
      <c r="H32" s="90"/>
      <c r="I32" s="50"/>
      <c r="J32" s="58" t="s">
        <v>815</v>
      </c>
    </row>
    <row r="33" spans="1:10" x14ac:dyDescent="0.55000000000000004">
      <c r="A33" s="67">
        <f t="shared" si="0"/>
        <v>31</v>
      </c>
      <c r="B33" s="11" t="str">
        <f>IF(ISERROR(VLOOKUP(C33,'ジョブ一覧(概要)'!$C$3:$I$23,6,FALSE)),"",VLOOKUP(C33,'ジョブ一覧(概要)'!$C$3:$I$23,6,FALSE))</f>
        <v>JP1⑤</v>
      </c>
      <c r="C33" s="11" t="s">
        <v>23</v>
      </c>
      <c r="D33" s="11" t="s">
        <v>72</v>
      </c>
      <c r="E33" s="11" t="s">
        <v>73</v>
      </c>
      <c r="F33" s="11" t="s">
        <v>10</v>
      </c>
      <c r="G33" s="90"/>
      <c r="H33" s="90"/>
      <c r="I33" s="49" t="s">
        <v>819</v>
      </c>
      <c r="J33" s="58" t="s">
        <v>810</v>
      </c>
    </row>
    <row r="34" spans="1:10" x14ac:dyDescent="0.55000000000000004">
      <c r="A34" s="67">
        <f t="shared" si="0"/>
        <v>32</v>
      </c>
      <c r="B34" s="11" t="str">
        <f>IF(ISERROR(VLOOKUP(C34,'ジョブ一覧(概要)'!$C$3:$I$23,6,FALSE)),"",VLOOKUP(C34,'ジョブ一覧(概要)'!$C$3:$I$23,6,FALSE))</f>
        <v>JP1⑤</v>
      </c>
      <c r="C34" s="11" t="s">
        <v>23</v>
      </c>
      <c r="D34" s="11" t="s">
        <v>74</v>
      </c>
      <c r="E34" s="11" t="s">
        <v>75</v>
      </c>
      <c r="F34" s="11" t="s">
        <v>10</v>
      </c>
      <c r="G34" s="90"/>
      <c r="H34" s="90"/>
      <c r="I34" s="49" t="s">
        <v>819</v>
      </c>
      <c r="J34" s="58" t="s">
        <v>810</v>
      </c>
    </row>
    <row r="35" spans="1:10" x14ac:dyDescent="0.55000000000000004">
      <c r="A35" s="67">
        <f t="shared" si="0"/>
        <v>33</v>
      </c>
      <c r="B35" s="11" t="str">
        <f>IF(ISERROR(VLOOKUP(C35,'ジョブ一覧(概要)'!$C$3:$I$23,6,FALSE)),"",VLOOKUP(C35,'ジョブ一覧(概要)'!$C$3:$I$23,6,FALSE))</f>
        <v>JP1⑤</v>
      </c>
      <c r="C35" s="11" t="s">
        <v>23</v>
      </c>
      <c r="D35" s="11" t="s">
        <v>76</v>
      </c>
      <c r="E35" s="11" t="s">
        <v>77</v>
      </c>
      <c r="F35" s="11" t="s">
        <v>10</v>
      </c>
      <c r="G35" s="90"/>
      <c r="H35" s="90"/>
      <c r="I35" s="49" t="s">
        <v>819</v>
      </c>
      <c r="J35" s="58" t="s">
        <v>809</v>
      </c>
    </row>
    <row r="36" spans="1:10" x14ac:dyDescent="0.55000000000000004">
      <c r="A36" s="67">
        <f t="shared" si="0"/>
        <v>34</v>
      </c>
      <c r="B36" s="11" t="str">
        <f>IF(ISERROR(VLOOKUP(C36,'ジョブ一覧(概要)'!$C$3:$I$23,6,FALSE)),"",VLOOKUP(C36,'ジョブ一覧(概要)'!$C$3:$I$23,6,FALSE))</f>
        <v>JP1⑤</v>
      </c>
      <c r="C36" s="11" t="s">
        <v>23</v>
      </c>
      <c r="D36" s="11" t="s">
        <v>78</v>
      </c>
      <c r="E36" s="11" t="s">
        <v>79</v>
      </c>
      <c r="F36" s="11" t="s">
        <v>10</v>
      </c>
      <c r="G36" s="90"/>
      <c r="H36" s="90"/>
      <c r="I36" s="49" t="s">
        <v>819</v>
      </c>
      <c r="J36" s="58" t="s">
        <v>806</v>
      </c>
    </row>
    <row r="37" spans="1:10" x14ac:dyDescent="0.55000000000000004">
      <c r="A37" s="68">
        <f t="shared" si="0"/>
        <v>35</v>
      </c>
      <c r="B37" s="12" t="str">
        <f>IF(ISERROR(VLOOKUP(C37,'ジョブ一覧(概要)'!$C$3:$I$23,6,FALSE)),"",VLOOKUP(C37,'ジョブ一覧(概要)'!$C$3:$I$23,6,FALSE))</f>
        <v>JP1⑤</v>
      </c>
      <c r="C37" s="12" t="s">
        <v>23</v>
      </c>
      <c r="D37" s="12" t="s">
        <v>80</v>
      </c>
      <c r="E37" s="12" t="s">
        <v>81</v>
      </c>
      <c r="F37" s="12" t="s">
        <v>10</v>
      </c>
      <c r="G37" s="90"/>
      <c r="H37" s="90"/>
      <c r="I37" s="50"/>
      <c r="J37" s="58" t="s">
        <v>808</v>
      </c>
    </row>
    <row r="38" spans="1:10" x14ac:dyDescent="0.55000000000000004">
      <c r="A38" s="68">
        <f t="shared" si="0"/>
        <v>36</v>
      </c>
      <c r="B38" s="12" t="str">
        <f>IF(ISERROR(VLOOKUP(C38,'ジョブ一覧(概要)'!$C$3:$I$23,6,FALSE)),"",VLOOKUP(C38,'ジョブ一覧(概要)'!$C$3:$I$23,6,FALSE))</f>
        <v>JP1⑤</v>
      </c>
      <c r="C38" s="12" t="s">
        <v>23</v>
      </c>
      <c r="D38" s="12" t="s">
        <v>82</v>
      </c>
      <c r="E38" s="12" t="s">
        <v>83</v>
      </c>
      <c r="F38" s="12" t="s">
        <v>10</v>
      </c>
      <c r="G38" s="90"/>
      <c r="H38" s="90"/>
      <c r="I38" s="50"/>
      <c r="J38" s="58" t="s">
        <v>807</v>
      </c>
    </row>
    <row r="39" spans="1:10" ht="15" thickBot="1" x14ac:dyDescent="0.6">
      <c r="A39" s="82">
        <f t="shared" si="0"/>
        <v>37</v>
      </c>
      <c r="B39" s="83" t="str">
        <f>IF(ISERROR(VLOOKUP(C39,'ジョブ一覧(概要)'!$C$3:$I$23,6,FALSE)),"",VLOOKUP(C39,'ジョブ一覧(概要)'!$C$3:$I$23,6,FALSE))</f>
        <v>JP1⑤</v>
      </c>
      <c r="C39" s="83" t="s">
        <v>23</v>
      </c>
      <c r="D39" s="83" t="s">
        <v>84</v>
      </c>
      <c r="E39" s="83" t="s">
        <v>85</v>
      </c>
      <c r="F39" s="83" t="s">
        <v>10</v>
      </c>
      <c r="G39" s="91"/>
      <c r="H39" s="91"/>
      <c r="I39" s="85" t="s">
        <v>819</v>
      </c>
      <c r="J39" s="62" t="s">
        <v>805</v>
      </c>
    </row>
    <row r="40" spans="1:10" x14ac:dyDescent="0.55000000000000004">
      <c r="A40" s="53">
        <f t="shared" si="0"/>
        <v>38</v>
      </c>
      <c r="B40" s="54" t="str">
        <f>IF(ISERROR(VLOOKUP(C40,'ジョブ一覧(概要)'!$C$3:$I$23,6,FALSE)),"",VLOOKUP(C40,'ジョブ一覧(概要)'!$C$3:$I$23,6,FALSE))</f>
        <v>JP1①</v>
      </c>
      <c r="C40" s="54" t="s">
        <v>86</v>
      </c>
      <c r="D40" s="54" t="s">
        <v>87</v>
      </c>
      <c r="E40" s="54" t="s">
        <v>88</v>
      </c>
      <c r="F40" s="54" t="s">
        <v>10</v>
      </c>
      <c r="G40" s="89"/>
      <c r="H40" s="89"/>
      <c r="I40" s="55"/>
      <c r="J40" s="56"/>
    </row>
    <row r="41" spans="1:10" x14ac:dyDescent="0.55000000000000004">
      <c r="A41" s="57">
        <f t="shared" si="0"/>
        <v>39</v>
      </c>
      <c r="B41" s="13" t="str">
        <f>IF(ISERROR(VLOOKUP(C41,'ジョブ一覧(概要)'!$C$3:$I$23,6,FALSE)),"",VLOOKUP(C41,'ジョブ一覧(概要)'!$C$3:$I$23,6,FALSE))</f>
        <v>JP1①</v>
      </c>
      <c r="C41" s="13" t="s">
        <v>86</v>
      </c>
      <c r="D41" s="13" t="s">
        <v>89</v>
      </c>
      <c r="E41" s="13" t="s">
        <v>90</v>
      </c>
      <c r="F41" s="13" t="s">
        <v>10</v>
      </c>
      <c r="G41" s="90"/>
      <c r="H41" s="90"/>
      <c r="I41" s="51"/>
      <c r="J41" s="58"/>
    </row>
    <row r="42" spans="1:10" x14ac:dyDescent="0.55000000000000004">
      <c r="A42" s="57">
        <f t="shared" si="0"/>
        <v>40</v>
      </c>
      <c r="B42" s="13" t="str">
        <f>IF(ISERROR(VLOOKUP(C42,'ジョブ一覧(概要)'!$C$3:$I$23,6,FALSE)),"",VLOOKUP(C42,'ジョブ一覧(概要)'!$C$3:$I$23,6,FALSE))</f>
        <v>JP1①</v>
      </c>
      <c r="C42" s="13" t="s">
        <v>86</v>
      </c>
      <c r="D42" s="13" t="s">
        <v>91</v>
      </c>
      <c r="E42" s="13" t="s">
        <v>92</v>
      </c>
      <c r="F42" s="13" t="s">
        <v>10</v>
      </c>
      <c r="G42" s="90"/>
      <c r="H42" s="90"/>
      <c r="I42" s="51"/>
      <c r="J42" s="58"/>
    </row>
    <row r="43" spans="1:10" x14ac:dyDescent="0.55000000000000004">
      <c r="A43" s="57">
        <f t="shared" si="0"/>
        <v>41</v>
      </c>
      <c r="B43" s="13" t="str">
        <f>IF(ISERROR(VLOOKUP(C43,'ジョブ一覧(概要)'!$C$3:$I$23,6,FALSE)),"",VLOOKUP(C43,'ジョブ一覧(概要)'!$C$3:$I$23,6,FALSE))</f>
        <v>JP1①</v>
      </c>
      <c r="C43" s="13" t="s">
        <v>86</v>
      </c>
      <c r="D43" s="13" t="s">
        <v>93</v>
      </c>
      <c r="E43" s="13" t="s">
        <v>94</v>
      </c>
      <c r="F43" s="13" t="s">
        <v>10</v>
      </c>
      <c r="G43" s="90"/>
      <c r="H43" s="90"/>
      <c r="I43" s="51"/>
      <c r="J43" s="58"/>
    </row>
    <row r="44" spans="1:10" x14ac:dyDescent="0.55000000000000004">
      <c r="A44" s="57">
        <f t="shared" si="0"/>
        <v>42</v>
      </c>
      <c r="B44" s="13" t="str">
        <f>IF(ISERROR(VLOOKUP(C44,'ジョブ一覧(概要)'!$C$3:$I$23,6,FALSE)),"",VLOOKUP(C44,'ジョブ一覧(概要)'!$C$3:$I$23,6,FALSE))</f>
        <v>JP1①</v>
      </c>
      <c r="C44" s="13" t="s">
        <v>86</v>
      </c>
      <c r="D44" s="13" t="s">
        <v>95</v>
      </c>
      <c r="E44" s="13" t="s">
        <v>96</v>
      </c>
      <c r="F44" s="13" t="s">
        <v>10</v>
      </c>
      <c r="G44" s="90"/>
      <c r="H44" s="90"/>
      <c r="I44" s="51"/>
      <c r="J44" s="58"/>
    </row>
    <row r="45" spans="1:10" ht="15" thickBot="1" x14ac:dyDescent="0.6">
      <c r="A45" s="59">
        <f t="shared" si="0"/>
        <v>43</v>
      </c>
      <c r="B45" s="60" t="str">
        <f>IF(ISERROR(VLOOKUP(C45,'ジョブ一覧(概要)'!$C$3:$I$23,6,FALSE)),"",VLOOKUP(C45,'ジョブ一覧(概要)'!$C$3:$I$23,6,FALSE))</f>
        <v>JP1①</v>
      </c>
      <c r="C45" s="60" t="s">
        <v>86</v>
      </c>
      <c r="D45" s="60" t="s">
        <v>97</v>
      </c>
      <c r="E45" s="60" t="s">
        <v>98</v>
      </c>
      <c r="F45" s="60" t="s">
        <v>10</v>
      </c>
      <c r="G45" s="91"/>
      <c r="H45" s="91"/>
      <c r="I45" s="61"/>
      <c r="J45" s="62"/>
    </row>
    <row r="46" spans="1:10" x14ac:dyDescent="0.55000000000000004">
      <c r="A46" s="63">
        <f t="shared" si="0"/>
        <v>44</v>
      </c>
      <c r="B46" s="64" t="str">
        <f>IF(ISERROR(VLOOKUP(C46,'ジョブ一覧(概要)'!$C$3:$I$23,6,FALSE)),"",VLOOKUP(C46,'ジョブ一覧(概要)'!$C$3:$I$23,6,FALSE))</f>
        <v>JP1①</v>
      </c>
      <c r="C46" s="64" t="s">
        <v>99</v>
      </c>
      <c r="D46" s="64" t="s">
        <v>100</v>
      </c>
      <c r="E46" s="64" t="s">
        <v>101</v>
      </c>
      <c r="F46" s="64" t="s">
        <v>10</v>
      </c>
      <c r="G46" s="89"/>
      <c r="H46" s="89"/>
      <c r="I46" s="84" t="s">
        <v>819</v>
      </c>
      <c r="J46" s="56" t="s">
        <v>826</v>
      </c>
    </row>
    <row r="47" spans="1:10" ht="15" thickBot="1" x14ac:dyDescent="0.6">
      <c r="A47" s="82">
        <f t="shared" si="0"/>
        <v>45</v>
      </c>
      <c r="B47" s="83" t="str">
        <f>IF(ISERROR(VLOOKUP(C47,'ジョブ一覧(概要)'!$C$3:$I$23,6,FALSE)),"",VLOOKUP(C47,'ジョブ一覧(概要)'!$C$3:$I$23,6,FALSE))</f>
        <v>JP1①</v>
      </c>
      <c r="C47" s="83" t="s">
        <v>99</v>
      </c>
      <c r="D47" s="83" t="s">
        <v>102</v>
      </c>
      <c r="E47" s="83" t="s">
        <v>103</v>
      </c>
      <c r="F47" s="83" t="s">
        <v>10</v>
      </c>
      <c r="G47" s="91"/>
      <c r="H47" s="91"/>
      <c r="I47" s="85" t="s">
        <v>819</v>
      </c>
      <c r="J47" s="62" t="s">
        <v>827</v>
      </c>
    </row>
    <row r="48" spans="1:10" x14ac:dyDescent="0.55000000000000004">
      <c r="A48" s="72">
        <f t="shared" si="0"/>
        <v>46</v>
      </c>
      <c r="B48" s="65" t="str">
        <f>IF(ISERROR(VLOOKUP(C48,'ジョブ一覧(概要)'!$C$3:$I$23,6,FALSE)),"",VLOOKUP(C48,'ジョブ一覧(概要)'!$C$3:$I$23,6,FALSE))</f>
        <v>JP1①</v>
      </c>
      <c r="C48" s="65" t="s">
        <v>104</v>
      </c>
      <c r="D48" s="65" t="s">
        <v>105</v>
      </c>
      <c r="E48" s="65" t="s">
        <v>106</v>
      </c>
      <c r="F48" s="65" t="s">
        <v>10</v>
      </c>
      <c r="G48" s="89"/>
      <c r="H48" s="89"/>
      <c r="I48" s="66"/>
      <c r="J48" s="56" t="s">
        <v>828</v>
      </c>
    </row>
    <row r="49" spans="1:10" x14ac:dyDescent="0.55000000000000004">
      <c r="A49" s="68">
        <f t="shared" si="0"/>
        <v>47</v>
      </c>
      <c r="B49" s="12" t="str">
        <f>IF(ISERROR(VLOOKUP(C49,'ジョブ一覧(概要)'!$C$3:$I$23,6,FALSE)),"",VLOOKUP(C49,'ジョブ一覧(概要)'!$C$3:$I$23,6,FALSE))</f>
        <v>JP1①</v>
      </c>
      <c r="C49" s="12" t="s">
        <v>104</v>
      </c>
      <c r="D49" s="12" t="s">
        <v>107</v>
      </c>
      <c r="E49" s="12" t="s">
        <v>108</v>
      </c>
      <c r="F49" s="12" t="s">
        <v>10</v>
      </c>
      <c r="G49" s="90"/>
      <c r="H49" s="90"/>
      <c r="I49" s="50"/>
      <c r="J49" s="58" t="s">
        <v>829</v>
      </c>
    </row>
    <row r="50" spans="1:10" x14ac:dyDescent="0.55000000000000004">
      <c r="A50" s="68">
        <f t="shared" si="0"/>
        <v>48</v>
      </c>
      <c r="B50" s="12" t="str">
        <f>IF(ISERROR(VLOOKUP(C50,'ジョブ一覧(概要)'!$C$3:$I$23,6,FALSE)),"",VLOOKUP(C50,'ジョブ一覧(概要)'!$C$3:$I$23,6,FALSE))</f>
        <v>JP1①</v>
      </c>
      <c r="C50" s="12" t="s">
        <v>104</v>
      </c>
      <c r="D50" s="12" t="s">
        <v>109</v>
      </c>
      <c r="E50" s="12" t="s">
        <v>110</v>
      </c>
      <c r="F50" s="12" t="s">
        <v>10</v>
      </c>
      <c r="G50" s="90"/>
      <c r="H50" s="90"/>
      <c r="I50" s="50"/>
      <c r="J50" s="58" t="s">
        <v>830</v>
      </c>
    </row>
    <row r="51" spans="1:10" x14ac:dyDescent="0.55000000000000004">
      <c r="A51" s="68">
        <f t="shared" si="0"/>
        <v>49</v>
      </c>
      <c r="B51" s="12" t="str">
        <f>IF(ISERROR(VLOOKUP(C51,'ジョブ一覧(概要)'!$C$3:$I$23,6,FALSE)),"",VLOOKUP(C51,'ジョブ一覧(概要)'!$C$3:$I$23,6,FALSE))</f>
        <v>JP1①</v>
      </c>
      <c r="C51" s="12" t="s">
        <v>104</v>
      </c>
      <c r="D51" s="12" t="s">
        <v>111</v>
      </c>
      <c r="E51" s="12" t="s">
        <v>112</v>
      </c>
      <c r="F51" s="12" t="s">
        <v>10</v>
      </c>
      <c r="G51" s="90"/>
      <c r="H51" s="90"/>
      <c r="I51" s="50" t="s">
        <v>819</v>
      </c>
      <c r="J51" s="58" t="s">
        <v>831</v>
      </c>
    </row>
    <row r="52" spans="1:10" x14ac:dyDescent="0.55000000000000004">
      <c r="A52" s="68">
        <f t="shared" si="0"/>
        <v>50</v>
      </c>
      <c r="B52" s="12" t="str">
        <f>IF(ISERROR(VLOOKUP(C52,'ジョブ一覧(概要)'!$C$3:$I$23,6,FALSE)),"",VLOOKUP(C52,'ジョブ一覧(概要)'!$C$3:$I$23,6,FALSE))</f>
        <v>JP1①</v>
      </c>
      <c r="C52" s="12" t="s">
        <v>104</v>
      </c>
      <c r="D52" s="12" t="s">
        <v>113</v>
      </c>
      <c r="E52" s="12" t="s">
        <v>114</v>
      </c>
      <c r="F52" s="12" t="s">
        <v>10</v>
      </c>
      <c r="G52" s="90"/>
      <c r="H52" s="90"/>
      <c r="I52" s="50"/>
      <c r="J52" s="58" t="s">
        <v>832</v>
      </c>
    </row>
    <row r="53" spans="1:10" ht="15" thickBot="1" x14ac:dyDescent="0.6">
      <c r="A53" s="69">
        <f t="shared" si="0"/>
        <v>51</v>
      </c>
      <c r="B53" s="70" t="str">
        <f>IF(ISERROR(VLOOKUP(C53,'ジョブ一覧(概要)'!$C$3:$I$23,6,FALSE)),"",VLOOKUP(C53,'ジョブ一覧(概要)'!$C$3:$I$23,6,FALSE))</f>
        <v>JP1①</v>
      </c>
      <c r="C53" s="70" t="s">
        <v>104</v>
      </c>
      <c r="D53" s="70" t="s">
        <v>115</v>
      </c>
      <c r="E53" s="70" t="s">
        <v>116</v>
      </c>
      <c r="F53" s="70" t="s">
        <v>10</v>
      </c>
      <c r="G53" s="91"/>
      <c r="H53" s="91"/>
      <c r="I53" s="71"/>
      <c r="J53" s="62" t="s">
        <v>833</v>
      </c>
    </row>
    <row r="54" spans="1:10" x14ac:dyDescent="0.55000000000000004">
      <c r="A54" s="53">
        <f t="shared" si="0"/>
        <v>52</v>
      </c>
      <c r="B54" s="54" t="str">
        <f>IF(ISERROR(VLOOKUP(C54,'ジョブ一覧(概要)'!$C$3:$I$23,6,FALSE)),"",VLOOKUP(C54,'ジョブ一覧(概要)'!$C$3:$I$23,6,FALSE))</f>
        <v>JP1①</v>
      </c>
      <c r="C54" s="54" t="s">
        <v>117</v>
      </c>
      <c r="D54" s="54" t="s">
        <v>118</v>
      </c>
      <c r="E54" s="54" t="s">
        <v>119</v>
      </c>
      <c r="F54" s="54" t="s">
        <v>10</v>
      </c>
      <c r="G54" s="89"/>
      <c r="H54" s="89"/>
      <c r="I54" s="55"/>
      <c r="J54" s="56" t="s">
        <v>835</v>
      </c>
    </row>
    <row r="55" spans="1:10" ht="15" thickBot="1" x14ac:dyDescent="0.6">
      <c r="A55" s="59">
        <f t="shared" si="0"/>
        <v>53</v>
      </c>
      <c r="B55" s="60" t="str">
        <f>IF(ISERROR(VLOOKUP(C55,'ジョブ一覧(概要)'!$C$3:$I$23,6,FALSE)),"",VLOOKUP(C55,'ジョブ一覧(概要)'!$C$3:$I$23,6,FALSE))</f>
        <v>JP1①</v>
      </c>
      <c r="C55" s="60" t="s">
        <v>117</v>
      </c>
      <c r="D55" s="60" t="s">
        <v>120</v>
      </c>
      <c r="E55" s="60" t="s">
        <v>121</v>
      </c>
      <c r="F55" s="60" t="s">
        <v>10</v>
      </c>
      <c r="G55" s="91"/>
      <c r="H55" s="91"/>
      <c r="I55" s="61" t="s">
        <v>819</v>
      </c>
      <c r="J55" s="62" t="s">
        <v>834</v>
      </c>
    </row>
    <row r="56" spans="1:10" x14ac:dyDescent="0.55000000000000004">
      <c r="A56" s="72">
        <f t="shared" si="0"/>
        <v>54</v>
      </c>
      <c r="B56" s="65" t="str">
        <f>IF(ISERROR(VLOOKUP(C56,'ジョブ一覧(概要)'!$C$3:$I$23,6,FALSE)),"",VLOOKUP(C56,'ジョブ一覧(概要)'!$C$3:$I$23,6,FALSE))</f>
        <v>JP1⑤</v>
      </c>
      <c r="C56" s="65" t="s">
        <v>122</v>
      </c>
      <c r="D56" s="65" t="s">
        <v>123</v>
      </c>
      <c r="E56" s="65" t="s">
        <v>124</v>
      </c>
      <c r="F56" s="65" t="s">
        <v>10</v>
      </c>
      <c r="G56" s="89"/>
      <c r="H56" s="89"/>
      <c r="I56" s="66" t="s">
        <v>837</v>
      </c>
      <c r="J56" s="56" t="s">
        <v>836</v>
      </c>
    </row>
    <row r="57" spans="1:10" x14ac:dyDescent="0.55000000000000004">
      <c r="A57" s="68">
        <f t="shared" si="0"/>
        <v>55</v>
      </c>
      <c r="B57" s="12" t="str">
        <f>IF(ISERROR(VLOOKUP(C57,'ジョブ一覧(概要)'!$C$3:$I$23,6,FALSE)),"",VLOOKUP(C57,'ジョブ一覧(概要)'!$C$3:$I$23,6,FALSE))</f>
        <v>JP1⑤</v>
      </c>
      <c r="C57" s="12" t="s">
        <v>122</v>
      </c>
      <c r="D57" s="12" t="s">
        <v>125</v>
      </c>
      <c r="E57" s="12" t="s">
        <v>126</v>
      </c>
      <c r="F57" s="12" t="s">
        <v>10</v>
      </c>
      <c r="G57" s="90"/>
      <c r="H57" s="90"/>
      <c r="I57" s="50"/>
      <c r="J57" s="58" t="s">
        <v>838</v>
      </c>
    </row>
    <row r="58" spans="1:10" x14ac:dyDescent="0.55000000000000004">
      <c r="A58" s="68">
        <f t="shared" si="0"/>
        <v>56</v>
      </c>
      <c r="B58" s="12" t="str">
        <f>IF(ISERROR(VLOOKUP(C58,'ジョブ一覧(概要)'!$C$3:$I$23,6,FALSE)),"",VLOOKUP(C58,'ジョブ一覧(概要)'!$C$3:$I$23,6,FALSE))</f>
        <v>JP1⑤</v>
      </c>
      <c r="C58" s="12" t="s">
        <v>122</v>
      </c>
      <c r="D58" s="12" t="s">
        <v>127</v>
      </c>
      <c r="E58" s="12" t="s">
        <v>128</v>
      </c>
      <c r="F58" s="12" t="s">
        <v>10</v>
      </c>
      <c r="G58" s="90"/>
      <c r="H58" s="90"/>
      <c r="I58" s="50" t="s">
        <v>837</v>
      </c>
      <c r="J58" s="58" t="s">
        <v>839</v>
      </c>
    </row>
    <row r="59" spans="1:10" x14ac:dyDescent="0.55000000000000004">
      <c r="A59" s="68">
        <f t="shared" si="0"/>
        <v>57</v>
      </c>
      <c r="B59" s="12" t="str">
        <f>IF(ISERROR(VLOOKUP(C59,'ジョブ一覧(概要)'!$C$3:$I$23,6,FALSE)),"",VLOOKUP(C59,'ジョブ一覧(概要)'!$C$3:$I$23,6,FALSE))</f>
        <v>JP1⑤</v>
      </c>
      <c r="C59" s="12" t="s">
        <v>122</v>
      </c>
      <c r="D59" s="12" t="s">
        <v>129</v>
      </c>
      <c r="E59" s="12" t="s">
        <v>130</v>
      </c>
      <c r="F59" s="12" t="s">
        <v>10</v>
      </c>
      <c r="G59" s="90"/>
      <c r="H59" s="90"/>
      <c r="I59" s="50"/>
      <c r="J59" s="58" t="s">
        <v>840</v>
      </c>
    </row>
    <row r="60" spans="1:10" x14ac:dyDescent="0.55000000000000004">
      <c r="A60" s="68">
        <f t="shared" si="0"/>
        <v>58</v>
      </c>
      <c r="B60" s="12" t="str">
        <f>IF(ISERROR(VLOOKUP(C60,'ジョブ一覧(概要)'!$C$3:$I$23,6,FALSE)),"",VLOOKUP(C60,'ジョブ一覧(概要)'!$C$3:$I$23,6,FALSE))</f>
        <v>JP1①</v>
      </c>
      <c r="C60" s="12" t="s">
        <v>131</v>
      </c>
      <c r="D60" s="12" t="s">
        <v>132</v>
      </c>
      <c r="E60" s="12" t="s">
        <v>133</v>
      </c>
      <c r="F60" s="12" t="s">
        <v>10</v>
      </c>
      <c r="G60" s="90"/>
      <c r="H60" s="90"/>
      <c r="I60" s="50" t="s">
        <v>819</v>
      </c>
      <c r="J60" s="58" t="s">
        <v>843</v>
      </c>
    </row>
    <row r="61" spans="1:10" x14ac:dyDescent="0.55000000000000004">
      <c r="A61" s="68">
        <f t="shared" si="0"/>
        <v>59</v>
      </c>
      <c r="B61" s="12" t="str">
        <f>IF(ISERROR(VLOOKUP(C61,'ジョブ一覧(概要)'!$C$3:$I$23,6,FALSE)),"",VLOOKUP(C61,'ジョブ一覧(概要)'!$C$3:$I$23,6,FALSE))</f>
        <v>JP1①</v>
      </c>
      <c r="C61" s="12" t="s">
        <v>131</v>
      </c>
      <c r="D61" s="12" t="s">
        <v>134</v>
      </c>
      <c r="E61" s="12" t="s">
        <v>135</v>
      </c>
      <c r="F61" s="12" t="s">
        <v>10</v>
      </c>
      <c r="G61" s="90"/>
      <c r="H61" s="90"/>
      <c r="I61" s="50"/>
      <c r="J61" s="58" t="s">
        <v>842</v>
      </c>
    </row>
    <row r="62" spans="1:10" ht="15" thickBot="1" x14ac:dyDescent="0.6">
      <c r="A62" s="69">
        <f t="shared" si="0"/>
        <v>60</v>
      </c>
      <c r="B62" s="70" t="str">
        <f>IF(ISERROR(VLOOKUP(C62,'ジョブ一覧(概要)'!$C$3:$I$23,6,FALSE)),"",VLOOKUP(C62,'ジョブ一覧(概要)'!$C$3:$I$23,6,FALSE))</f>
        <v>JP1①</v>
      </c>
      <c r="C62" s="70" t="s">
        <v>131</v>
      </c>
      <c r="D62" s="70" t="s">
        <v>136</v>
      </c>
      <c r="E62" s="70" t="s">
        <v>137</v>
      </c>
      <c r="F62" s="70" t="s">
        <v>10</v>
      </c>
      <c r="G62" s="91"/>
      <c r="H62" s="91"/>
      <c r="I62" s="71"/>
      <c r="J62" s="62" t="s">
        <v>841</v>
      </c>
    </row>
    <row r="63" spans="1:10" x14ac:dyDescent="0.55000000000000004">
      <c r="A63" s="63">
        <f t="shared" si="0"/>
        <v>61</v>
      </c>
      <c r="B63" s="64" t="str">
        <f>IF(ISERROR(VLOOKUP(C63,'ジョブ一覧(概要)'!$C$3:$I$23,6,FALSE)),"",VLOOKUP(C63,'ジョブ一覧(概要)'!$C$3:$I$23,6,FALSE))</f>
        <v>JP1④</v>
      </c>
      <c r="C63" s="64" t="s">
        <v>138</v>
      </c>
      <c r="D63" s="64" t="s">
        <v>139</v>
      </c>
      <c r="E63" s="64" t="s">
        <v>140</v>
      </c>
      <c r="F63" s="64" t="s">
        <v>10</v>
      </c>
      <c r="G63" s="89"/>
      <c r="H63" s="89"/>
      <c r="I63" s="84"/>
      <c r="J63" s="56"/>
    </row>
    <row r="64" spans="1:10" x14ac:dyDescent="0.55000000000000004">
      <c r="A64" s="67">
        <f t="shared" si="0"/>
        <v>62</v>
      </c>
      <c r="B64" s="11" t="str">
        <f>IF(ISERROR(VLOOKUP(C64,'ジョブ一覧(概要)'!$C$3:$I$23,6,FALSE)),"",VLOOKUP(C64,'ジョブ一覧(概要)'!$C$3:$I$23,6,FALSE))</f>
        <v>JP1④</v>
      </c>
      <c r="C64" s="11" t="s">
        <v>138</v>
      </c>
      <c r="D64" s="11" t="s">
        <v>141</v>
      </c>
      <c r="E64" s="11" t="s">
        <v>142</v>
      </c>
      <c r="F64" s="11" t="s">
        <v>10</v>
      </c>
      <c r="G64" s="90"/>
      <c r="H64" s="90"/>
      <c r="I64" s="49"/>
      <c r="J64" s="58"/>
    </row>
    <row r="65" spans="1:10" x14ac:dyDescent="0.55000000000000004">
      <c r="A65" s="67">
        <f t="shared" si="0"/>
        <v>63</v>
      </c>
      <c r="B65" s="11" t="str">
        <f>IF(ISERROR(VLOOKUP(C65,'ジョブ一覧(概要)'!$C$3:$I$23,6,FALSE)),"",VLOOKUP(C65,'ジョブ一覧(概要)'!$C$3:$I$23,6,FALSE))</f>
        <v>JP1④</v>
      </c>
      <c r="C65" s="11" t="s">
        <v>138</v>
      </c>
      <c r="D65" s="11" t="s">
        <v>143</v>
      </c>
      <c r="E65" s="11" t="s">
        <v>144</v>
      </c>
      <c r="F65" s="11" t="s">
        <v>10</v>
      </c>
      <c r="G65" s="90"/>
      <c r="H65" s="90"/>
      <c r="I65" s="49"/>
      <c r="J65" s="58"/>
    </row>
    <row r="66" spans="1:10" x14ac:dyDescent="0.55000000000000004">
      <c r="A66" s="67">
        <f t="shared" si="0"/>
        <v>64</v>
      </c>
      <c r="B66" s="11" t="str">
        <f>IF(ISERROR(VLOOKUP(C66,'ジョブ一覧(概要)'!$C$3:$I$23,6,FALSE)),"",VLOOKUP(C66,'ジョブ一覧(概要)'!$C$3:$I$23,6,FALSE))</f>
        <v>JP1④</v>
      </c>
      <c r="C66" s="11" t="s">
        <v>138</v>
      </c>
      <c r="D66" s="11" t="s">
        <v>145</v>
      </c>
      <c r="E66" s="11" t="s">
        <v>146</v>
      </c>
      <c r="F66" s="11" t="s">
        <v>10</v>
      </c>
      <c r="G66" s="90"/>
      <c r="H66" s="90"/>
      <c r="I66" s="49"/>
      <c r="J66" s="58"/>
    </row>
    <row r="67" spans="1:10" x14ac:dyDescent="0.55000000000000004">
      <c r="A67" s="67">
        <f t="shared" si="0"/>
        <v>65</v>
      </c>
      <c r="B67" s="11" t="str">
        <f>IF(ISERROR(VLOOKUP(C67,'ジョブ一覧(概要)'!$C$3:$I$23,6,FALSE)),"",VLOOKUP(C67,'ジョブ一覧(概要)'!$C$3:$I$23,6,FALSE))</f>
        <v>JP1④</v>
      </c>
      <c r="C67" s="11" t="s">
        <v>138</v>
      </c>
      <c r="D67" s="11" t="s">
        <v>147</v>
      </c>
      <c r="E67" s="11" t="s">
        <v>148</v>
      </c>
      <c r="F67" s="11" t="s">
        <v>10</v>
      </c>
      <c r="G67" s="90"/>
      <c r="H67" s="90"/>
      <c r="I67" s="49"/>
      <c r="J67" s="58"/>
    </row>
    <row r="68" spans="1:10" x14ac:dyDescent="0.55000000000000004">
      <c r="A68" s="67">
        <f t="shared" ref="A68:A131" si="1">ROW()-2</f>
        <v>66</v>
      </c>
      <c r="B68" s="11" t="str">
        <f>IF(ISERROR(VLOOKUP(C68,'ジョブ一覧(概要)'!$C$3:$I$23,6,FALSE)),"",VLOOKUP(C68,'ジョブ一覧(概要)'!$C$3:$I$23,6,FALSE))</f>
        <v>JP1④</v>
      </c>
      <c r="C68" s="11" t="s">
        <v>138</v>
      </c>
      <c r="D68" s="11" t="s">
        <v>149</v>
      </c>
      <c r="E68" s="11" t="s">
        <v>150</v>
      </c>
      <c r="F68" s="11" t="s">
        <v>10</v>
      </c>
      <c r="G68" s="90"/>
      <c r="H68" s="90"/>
      <c r="I68" s="49"/>
      <c r="J68" s="58"/>
    </row>
    <row r="69" spans="1:10" x14ac:dyDescent="0.55000000000000004">
      <c r="A69" s="67">
        <f t="shared" si="1"/>
        <v>67</v>
      </c>
      <c r="B69" s="11" t="str">
        <f>IF(ISERROR(VLOOKUP(C69,'ジョブ一覧(概要)'!$C$3:$I$23,6,FALSE)),"",VLOOKUP(C69,'ジョブ一覧(概要)'!$C$3:$I$23,6,FALSE))</f>
        <v>JP1④</v>
      </c>
      <c r="C69" s="11" t="s">
        <v>138</v>
      </c>
      <c r="D69" s="11" t="s">
        <v>151</v>
      </c>
      <c r="E69" s="11" t="s">
        <v>152</v>
      </c>
      <c r="F69" s="11" t="s">
        <v>10</v>
      </c>
      <c r="G69" s="90"/>
      <c r="H69" s="90"/>
      <c r="I69" s="49"/>
      <c r="J69" s="58"/>
    </row>
    <row r="70" spans="1:10" x14ac:dyDescent="0.55000000000000004">
      <c r="A70" s="67">
        <f t="shared" si="1"/>
        <v>68</v>
      </c>
      <c r="B70" s="11" t="str">
        <f>IF(ISERROR(VLOOKUP(C70,'ジョブ一覧(概要)'!$C$3:$I$23,6,FALSE)),"",VLOOKUP(C70,'ジョブ一覧(概要)'!$C$3:$I$23,6,FALSE))</f>
        <v>JP1④</v>
      </c>
      <c r="C70" s="11" t="s">
        <v>138</v>
      </c>
      <c r="D70" s="11" t="s">
        <v>153</v>
      </c>
      <c r="E70" s="11" t="s">
        <v>154</v>
      </c>
      <c r="F70" s="11" t="s">
        <v>10</v>
      </c>
      <c r="G70" s="90"/>
      <c r="H70" s="90"/>
      <c r="I70" s="49"/>
      <c r="J70" s="58"/>
    </row>
    <row r="71" spans="1:10" x14ac:dyDescent="0.55000000000000004">
      <c r="A71" s="67">
        <f t="shared" si="1"/>
        <v>69</v>
      </c>
      <c r="B71" s="11" t="str">
        <f>IF(ISERROR(VLOOKUP(C71,'ジョブ一覧(概要)'!$C$3:$I$23,6,FALSE)),"",VLOOKUP(C71,'ジョブ一覧(概要)'!$C$3:$I$23,6,FALSE))</f>
        <v>JP1④</v>
      </c>
      <c r="C71" s="11" t="s">
        <v>138</v>
      </c>
      <c r="D71" s="11" t="s">
        <v>155</v>
      </c>
      <c r="E71" s="11" t="s">
        <v>156</v>
      </c>
      <c r="F71" s="11" t="s">
        <v>10</v>
      </c>
      <c r="G71" s="90"/>
      <c r="H71" s="90"/>
      <c r="I71" s="49"/>
      <c r="J71" s="58"/>
    </row>
    <row r="72" spans="1:10" ht="15" thickBot="1" x14ac:dyDescent="0.6">
      <c r="A72" s="69">
        <f t="shared" si="1"/>
        <v>70</v>
      </c>
      <c r="B72" s="70" t="str">
        <f>IF(ISERROR(VLOOKUP(C72,'ジョブ一覧(概要)'!$C$3:$I$23,6,FALSE)),"",VLOOKUP(C72,'ジョブ一覧(概要)'!$C$3:$I$23,6,FALSE))</f>
        <v>JP1④</v>
      </c>
      <c r="C72" s="70" t="s">
        <v>138</v>
      </c>
      <c r="D72" s="70" t="s">
        <v>157</v>
      </c>
      <c r="E72" s="70" t="s">
        <v>158</v>
      </c>
      <c r="F72" s="70" t="s">
        <v>10</v>
      </c>
      <c r="G72" s="91"/>
      <c r="H72" s="91"/>
      <c r="I72" s="71"/>
      <c r="J72" s="62"/>
    </row>
    <row r="73" spans="1:10" x14ac:dyDescent="0.55000000000000004">
      <c r="A73" s="63">
        <f t="shared" si="1"/>
        <v>71</v>
      </c>
      <c r="B73" s="64" t="str">
        <f>IF(ISERROR(VLOOKUP(C73,'ジョブ一覧(概要)'!$C$3:$I$23,6,FALSE)),"",VLOOKUP(C73,'ジョブ一覧(概要)'!$C$3:$I$23,6,FALSE))</f>
        <v>JP1④</v>
      </c>
      <c r="C73" s="64" t="s">
        <v>159</v>
      </c>
      <c r="D73" s="64" t="s">
        <v>160</v>
      </c>
      <c r="E73" s="64" t="s">
        <v>161</v>
      </c>
      <c r="F73" s="64" t="s">
        <v>10</v>
      </c>
      <c r="G73" s="89"/>
      <c r="H73" s="89"/>
      <c r="I73" s="84"/>
      <c r="J73" s="56"/>
    </row>
    <row r="74" spans="1:10" x14ac:dyDescent="0.55000000000000004">
      <c r="A74" s="67">
        <f t="shared" si="1"/>
        <v>72</v>
      </c>
      <c r="B74" s="11" t="str">
        <f>IF(ISERROR(VLOOKUP(C74,'ジョブ一覧(概要)'!$C$3:$I$23,6,FALSE)),"",VLOOKUP(C74,'ジョブ一覧(概要)'!$C$3:$I$23,6,FALSE))</f>
        <v>JP1④</v>
      </c>
      <c r="C74" s="11" t="s">
        <v>159</v>
      </c>
      <c r="D74" s="11" t="s">
        <v>162</v>
      </c>
      <c r="E74" s="11" t="s">
        <v>163</v>
      </c>
      <c r="F74" s="11" t="s">
        <v>10</v>
      </c>
      <c r="G74" s="90"/>
      <c r="H74" s="90"/>
      <c r="I74" s="49"/>
      <c r="J74" s="58"/>
    </row>
    <row r="75" spans="1:10" x14ac:dyDescent="0.55000000000000004">
      <c r="A75" s="67">
        <f t="shared" si="1"/>
        <v>73</v>
      </c>
      <c r="B75" s="11" t="str">
        <f>IF(ISERROR(VLOOKUP(C75,'ジョブ一覧(概要)'!$C$3:$I$23,6,FALSE)),"",VLOOKUP(C75,'ジョブ一覧(概要)'!$C$3:$I$23,6,FALSE))</f>
        <v>JP1④</v>
      </c>
      <c r="C75" s="11" t="s">
        <v>159</v>
      </c>
      <c r="D75" s="11" t="s">
        <v>164</v>
      </c>
      <c r="E75" s="11" t="s">
        <v>165</v>
      </c>
      <c r="F75" s="11" t="s">
        <v>10</v>
      </c>
      <c r="G75" s="90"/>
      <c r="H75" s="90"/>
      <c r="I75" s="49"/>
      <c r="J75" s="58"/>
    </row>
    <row r="76" spans="1:10" x14ac:dyDescent="0.55000000000000004">
      <c r="A76" s="67">
        <f t="shared" si="1"/>
        <v>74</v>
      </c>
      <c r="B76" s="11" t="str">
        <f>IF(ISERROR(VLOOKUP(C76,'ジョブ一覧(概要)'!$C$3:$I$23,6,FALSE)),"",VLOOKUP(C76,'ジョブ一覧(概要)'!$C$3:$I$23,6,FALSE))</f>
        <v>JP1④</v>
      </c>
      <c r="C76" s="11" t="s">
        <v>159</v>
      </c>
      <c r="D76" s="11" t="s">
        <v>166</v>
      </c>
      <c r="E76" s="11" t="s">
        <v>167</v>
      </c>
      <c r="F76" s="11" t="s">
        <v>10</v>
      </c>
      <c r="G76" s="90"/>
      <c r="H76" s="90"/>
      <c r="I76" s="49"/>
      <c r="J76" s="58"/>
    </row>
    <row r="77" spans="1:10" x14ac:dyDescent="0.55000000000000004">
      <c r="A77" s="67">
        <f t="shared" si="1"/>
        <v>75</v>
      </c>
      <c r="B77" s="11" t="str">
        <f>IF(ISERROR(VLOOKUP(C77,'ジョブ一覧(概要)'!$C$3:$I$23,6,FALSE)),"",VLOOKUP(C77,'ジョブ一覧(概要)'!$C$3:$I$23,6,FALSE))</f>
        <v>JP1④</v>
      </c>
      <c r="C77" s="11" t="s">
        <v>159</v>
      </c>
      <c r="D77" s="11" t="s">
        <v>168</v>
      </c>
      <c r="E77" s="11" t="s">
        <v>169</v>
      </c>
      <c r="F77" s="11" t="s">
        <v>10</v>
      </c>
      <c r="G77" s="90"/>
      <c r="H77" s="90"/>
      <c r="I77" s="49"/>
      <c r="J77" s="58"/>
    </row>
    <row r="78" spans="1:10" x14ac:dyDescent="0.55000000000000004">
      <c r="A78" s="67">
        <f t="shared" si="1"/>
        <v>76</v>
      </c>
      <c r="B78" s="11" t="str">
        <f>IF(ISERROR(VLOOKUP(C78,'ジョブ一覧(概要)'!$C$3:$I$23,6,FALSE)),"",VLOOKUP(C78,'ジョブ一覧(概要)'!$C$3:$I$23,6,FALSE))</f>
        <v>JP1④</v>
      </c>
      <c r="C78" s="11" t="s">
        <v>159</v>
      </c>
      <c r="D78" s="11" t="s">
        <v>170</v>
      </c>
      <c r="E78" s="11" t="s">
        <v>171</v>
      </c>
      <c r="F78" s="11" t="s">
        <v>10</v>
      </c>
      <c r="G78" s="90"/>
      <c r="H78" s="90"/>
      <c r="I78" s="49"/>
      <c r="J78" s="58"/>
    </row>
    <row r="79" spans="1:10" ht="15" thickBot="1" x14ac:dyDescent="0.6">
      <c r="A79" s="82">
        <f t="shared" si="1"/>
        <v>77</v>
      </c>
      <c r="B79" s="83" t="str">
        <f>IF(ISERROR(VLOOKUP(C79,'ジョブ一覧(概要)'!$C$3:$I$23,6,FALSE)),"",VLOOKUP(C79,'ジョブ一覧(概要)'!$C$3:$I$23,6,FALSE))</f>
        <v>JP1④</v>
      </c>
      <c r="C79" s="83" t="s">
        <v>159</v>
      </c>
      <c r="D79" s="83" t="s">
        <v>172</v>
      </c>
      <c r="E79" s="83" t="s">
        <v>173</v>
      </c>
      <c r="F79" s="83" t="s">
        <v>10</v>
      </c>
      <c r="G79" s="91"/>
      <c r="H79" s="91"/>
      <c r="I79" s="85"/>
      <c r="J79" s="62"/>
    </row>
    <row r="80" spans="1:10" x14ac:dyDescent="0.55000000000000004">
      <c r="A80" s="53">
        <f t="shared" si="1"/>
        <v>78</v>
      </c>
      <c r="B80" s="54" t="str">
        <f>IF(ISERROR(VLOOKUP(C80,'ジョブ一覧(概要)'!$C$3:$I$23,6,FALSE)),"",VLOOKUP(C80,'ジョブ一覧(概要)'!$C$3:$I$23,6,FALSE))</f>
        <v>JP1①</v>
      </c>
      <c r="C80" s="54" t="s">
        <v>174</v>
      </c>
      <c r="D80" s="54" t="s">
        <v>175</v>
      </c>
      <c r="E80" s="54" t="s">
        <v>176</v>
      </c>
      <c r="F80" s="54" t="s">
        <v>10</v>
      </c>
      <c r="G80" s="89"/>
      <c r="H80" s="89"/>
      <c r="I80" s="55"/>
      <c r="J80" s="56"/>
    </row>
    <row r="81" spans="1:10" x14ac:dyDescent="0.55000000000000004">
      <c r="A81" s="57">
        <f t="shared" si="1"/>
        <v>79</v>
      </c>
      <c r="B81" s="13" t="str">
        <f>IF(ISERROR(VLOOKUP(C81,'ジョブ一覧(概要)'!$C$3:$I$23,6,FALSE)),"",VLOOKUP(C81,'ジョブ一覧(概要)'!$C$3:$I$23,6,FALSE))</f>
        <v>JP1①</v>
      </c>
      <c r="C81" s="13" t="s">
        <v>174</v>
      </c>
      <c r="D81" s="13" t="s">
        <v>177</v>
      </c>
      <c r="E81" s="13" t="s">
        <v>178</v>
      </c>
      <c r="F81" s="13" t="s">
        <v>10</v>
      </c>
      <c r="G81" s="90"/>
      <c r="H81" s="90"/>
      <c r="I81" s="51"/>
      <c r="J81" s="58"/>
    </row>
    <row r="82" spans="1:10" x14ac:dyDescent="0.55000000000000004">
      <c r="A82" s="57">
        <f t="shared" si="1"/>
        <v>80</v>
      </c>
      <c r="B82" s="13" t="str">
        <f>IF(ISERROR(VLOOKUP(C82,'ジョブ一覧(概要)'!$C$3:$I$23,6,FALSE)),"",VLOOKUP(C82,'ジョブ一覧(概要)'!$C$3:$I$23,6,FALSE))</f>
        <v>JP1①</v>
      </c>
      <c r="C82" s="13" t="s">
        <v>174</v>
      </c>
      <c r="D82" s="13" t="s">
        <v>179</v>
      </c>
      <c r="E82" s="13" t="s">
        <v>180</v>
      </c>
      <c r="F82" s="13" t="s">
        <v>10</v>
      </c>
      <c r="G82" s="90"/>
      <c r="H82" s="90"/>
      <c r="I82" s="51"/>
      <c r="J82" s="58"/>
    </row>
    <row r="83" spans="1:10" x14ac:dyDescent="0.55000000000000004">
      <c r="A83" s="57">
        <f t="shared" si="1"/>
        <v>81</v>
      </c>
      <c r="B83" s="13" t="str">
        <f>IF(ISERROR(VLOOKUP(C83,'ジョブ一覧(概要)'!$C$3:$I$23,6,FALSE)),"",VLOOKUP(C83,'ジョブ一覧(概要)'!$C$3:$I$23,6,FALSE))</f>
        <v>JP1①</v>
      </c>
      <c r="C83" s="13" t="s">
        <v>174</v>
      </c>
      <c r="D83" s="13" t="s">
        <v>181</v>
      </c>
      <c r="E83" s="13" t="s">
        <v>182</v>
      </c>
      <c r="F83" s="13" t="s">
        <v>10</v>
      </c>
      <c r="G83" s="90"/>
      <c r="H83" s="90"/>
      <c r="I83" s="51"/>
      <c r="J83" s="58"/>
    </row>
    <row r="84" spans="1:10" x14ac:dyDescent="0.55000000000000004">
      <c r="A84" s="57">
        <f t="shared" si="1"/>
        <v>82</v>
      </c>
      <c r="B84" s="13" t="str">
        <f>IF(ISERROR(VLOOKUP(C84,'ジョブ一覧(概要)'!$C$3:$I$23,6,FALSE)),"",VLOOKUP(C84,'ジョブ一覧(概要)'!$C$3:$I$23,6,FALSE))</f>
        <v>JP1①</v>
      </c>
      <c r="C84" s="13" t="s">
        <v>174</v>
      </c>
      <c r="D84" s="13" t="s">
        <v>183</v>
      </c>
      <c r="E84" s="13" t="s">
        <v>184</v>
      </c>
      <c r="F84" s="13" t="s">
        <v>10</v>
      </c>
      <c r="G84" s="90"/>
      <c r="H84" s="90"/>
      <c r="I84" s="51"/>
      <c r="J84" s="58"/>
    </row>
    <row r="85" spans="1:10" ht="15" thickBot="1" x14ac:dyDescent="0.6">
      <c r="A85" s="59">
        <f t="shared" si="1"/>
        <v>83</v>
      </c>
      <c r="B85" s="60" t="str">
        <f>IF(ISERROR(VLOOKUP(C85,'ジョブ一覧(概要)'!$C$3:$I$23,6,FALSE)),"",VLOOKUP(C85,'ジョブ一覧(概要)'!$C$3:$I$23,6,FALSE))</f>
        <v>JP1①</v>
      </c>
      <c r="C85" s="60" t="s">
        <v>174</v>
      </c>
      <c r="D85" s="60" t="s">
        <v>185</v>
      </c>
      <c r="E85" s="60" t="s">
        <v>186</v>
      </c>
      <c r="F85" s="60" t="s">
        <v>10</v>
      </c>
      <c r="G85" s="91"/>
      <c r="H85" s="91"/>
      <c r="I85" s="61"/>
      <c r="J85" s="62"/>
    </row>
    <row r="86" spans="1:10" x14ac:dyDescent="0.55000000000000004">
      <c r="A86" s="72">
        <f t="shared" si="1"/>
        <v>84</v>
      </c>
      <c r="B86" s="65" t="str">
        <f>IF(ISERROR(VLOOKUP(C86,'ジョブ一覧(概要)'!$C$3:$I$23,6,FALSE)),"",VLOOKUP(C86,'ジョブ一覧(概要)'!$C$3:$I$23,6,FALSE))</f>
        <v>JP1⑤</v>
      </c>
      <c r="C86" s="65" t="s">
        <v>187</v>
      </c>
      <c r="D86" s="65" t="s">
        <v>188</v>
      </c>
      <c r="E86" s="65" t="s">
        <v>189</v>
      </c>
      <c r="F86" s="65" t="s">
        <v>10</v>
      </c>
      <c r="G86" s="89"/>
      <c r="H86" s="89"/>
      <c r="I86" s="66"/>
      <c r="J86" s="56"/>
    </row>
    <row r="87" spans="1:10" x14ac:dyDescent="0.55000000000000004">
      <c r="A87" s="68">
        <f t="shared" si="1"/>
        <v>85</v>
      </c>
      <c r="B87" s="12" t="str">
        <f>IF(ISERROR(VLOOKUP(C87,'ジョブ一覧(概要)'!$C$3:$I$23,6,FALSE)),"",VLOOKUP(C87,'ジョブ一覧(概要)'!$C$3:$I$23,6,FALSE))</f>
        <v>JP1⑤</v>
      </c>
      <c r="C87" s="12" t="s">
        <v>187</v>
      </c>
      <c r="D87" s="12" t="s">
        <v>190</v>
      </c>
      <c r="E87" s="12" t="s">
        <v>191</v>
      </c>
      <c r="F87" s="12" t="s">
        <v>10</v>
      </c>
      <c r="G87" s="90"/>
      <c r="H87" s="90"/>
      <c r="I87" s="50"/>
      <c r="J87" s="58"/>
    </row>
    <row r="88" spans="1:10" x14ac:dyDescent="0.55000000000000004">
      <c r="A88" s="68">
        <f t="shared" si="1"/>
        <v>86</v>
      </c>
      <c r="B88" s="12" t="str">
        <f>IF(ISERROR(VLOOKUP(C88,'ジョブ一覧(概要)'!$C$3:$I$23,6,FALSE)),"",VLOOKUP(C88,'ジョブ一覧(概要)'!$C$3:$I$23,6,FALSE))</f>
        <v>JP1⑤</v>
      </c>
      <c r="C88" s="12" t="s">
        <v>187</v>
      </c>
      <c r="D88" s="12" t="s">
        <v>192</v>
      </c>
      <c r="E88" s="12" t="s">
        <v>193</v>
      </c>
      <c r="F88" s="12" t="s">
        <v>10</v>
      </c>
      <c r="G88" s="90"/>
      <c r="H88" s="90"/>
      <c r="I88" s="50"/>
      <c r="J88" s="58"/>
    </row>
    <row r="89" spans="1:10" x14ac:dyDescent="0.55000000000000004">
      <c r="A89" s="68">
        <f t="shared" si="1"/>
        <v>87</v>
      </c>
      <c r="B89" s="12" t="str">
        <f>IF(ISERROR(VLOOKUP(C89,'ジョブ一覧(概要)'!$C$3:$I$23,6,FALSE)),"",VLOOKUP(C89,'ジョブ一覧(概要)'!$C$3:$I$23,6,FALSE))</f>
        <v>JP1⑤</v>
      </c>
      <c r="C89" s="12" t="s">
        <v>187</v>
      </c>
      <c r="D89" s="12" t="s">
        <v>194</v>
      </c>
      <c r="E89" s="12" t="s">
        <v>195</v>
      </c>
      <c r="F89" s="12" t="s">
        <v>10</v>
      </c>
      <c r="G89" s="90"/>
      <c r="H89" s="90"/>
      <c r="I89" s="50"/>
      <c r="J89" s="58"/>
    </row>
    <row r="90" spans="1:10" x14ac:dyDescent="0.55000000000000004">
      <c r="A90" s="68">
        <f t="shared" si="1"/>
        <v>88</v>
      </c>
      <c r="B90" s="12" t="str">
        <f>IF(ISERROR(VLOOKUP(C90,'ジョブ一覧(概要)'!$C$3:$I$23,6,FALSE)),"",VLOOKUP(C90,'ジョブ一覧(概要)'!$C$3:$I$23,6,FALSE))</f>
        <v>JP1⑤</v>
      </c>
      <c r="C90" s="12" t="s">
        <v>187</v>
      </c>
      <c r="D90" s="12" t="s">
        <v>196</v>
      </c>
      <c r="E90" s="12" t="s">
        <v>197</v>
      </c>
      <c r="F90" s="12" t="s">
        <v>10</v>
      </c>
      <c r="G90" s="90"/>
      <c r="H90" s="90"/>
      <c r="I90" s="50"/>
      <c r="J90" s="58"/>
    </row>
    <row r="91" spans="1:10" x14ac:dyDescent="0.55000000000000004">
      <c r="A91" s="68">
        <f t="shared" si="1"/>
        <v>89</v>
      </c>
      <c r="B91" s="12" t="str">
        <f>IF(ISERROR(VLOOKUP(C91,'ジョブ一覧(概要)'!$C$3:$I$23,6,FALSE)),"",VLOOKUP(C91,'ジョブ一覧(概要)'!$C$3:$I$23,6,FALSE))</f>
        <v>JP1⑤</v>
      </c>
      <c r="C91" s="12" t="s">
        <v>187</v>
      </c>
      <c r="D91" s="12" t="s">
        <v>198</v>
      </c>
      <c r="E91" s="12" t="s">
        <v>199</v>
      </c>
      <c r="F91" s="12" t="s">
        <v>10</v>
      </c>
      <c r="G91" s="90"/>
      <c r="H91" s="90"/>
      <c r="I91" s="50"/>
      <c r="J91" s="58"/>
    </row>
    <row r="92" spans="1:10" x14ac:dyDescent="0.55000000000000004">
      <c r="A92" s="68">
        <f t="shared" si="1"/>
        <v>90</v>
      </c>
      <c r="B92" s="12" t="str">
        <f>IF(ISERROR(VLOOKUP(C92,'ジョブ一覧(概要)'!$C$3:$I$23,6,FALSE)),"",VLOOKUP(C92,'ジョブ一覧(概要)'!$C$3:$I$23,6,FALSE))</f>
        <v>JP1⑤</v>
      </c>
      <c r="C92" s="12" t="s">
        <v>187</v>
      </c>
      <c r="D92" s="12" t="s">
        <v>200</v>
      </c>
      <c r="E92" s="12" t="s">
        <v>201</v>
      </c>
      <c r="F92" s="12" t="s">
        <v>10</v>
      </c>
      <c r="G92" s="90"/>
      <c r="H92" s="90"/>
      <c r="I92" s="50"/>
      <c r="J92" s="58"/>
    </row>
    <row r="93" spans="1:10" x14ac:dyDescent="0.55000000000000004">
      <c r="A93" s="68">
        <f t="shared" si="1"/>
        <v>91</v>
      </c>
      <c r="B93" s="12" t="str">
        <f>IF(ISERROR(VLOOKUP(C93,'ジョブ一覧(概要)'!$C$3:$I$23,6,FALSE)),"",VLOOKUP(C93,'ジョブ一覧(概要)'!$C$3:$I$23,6,FALSE))</f>
        <v>JP1⑤</v>
      </c>
      <c r="C93" s="12" t="s">
        <v>187</v>
      </c>
      <c r="D93" s="12" t="s">
        <v>202</v>
      </c>
      <c r="E93" s="12" t="s">
        <v>203</v>
      </c>
      <c r="F93" s="12" t="s">
        <v>10</v>
      </c>
      <c r="G93" s="90"/>
      <c r="H93" s="90"/>
      <c r="I93" s="50"/>
      <c r="J93" s="58"/>
    </row>
    <row r="94" spans="1:10" x14ac:dyDescent="0.55000000000000004">
      <c r="A94" s="67">
        <f t="shared" si="1"/>
        <v>92</v>
      </c>
      <c r="B94" s="11" t="str">
        <f>IF(ISERROR(VLOOKUP(C94,'ジョブ一覧(概要)'!$C$3:$I$23,6,FALSE)),"",VLOOKUP(C94,'ジョブ一覧(概要)'!$C$3:$I$23,6,FALSE))</f>
        <v>JP1⑤</v>
      </c>
      <c r="C94" s="11" t="s">
        <v>187</v>
      </c>
      <c r="D94" s="11" t="s">
        <v>204</v>
      </c>
      <c r="E94" s="11" t="s">
        <v>205</v>
      </c>
      <c r="F94" s="12" t="s">
        <v>10</v>
      </c>
      <c r="G94" s="90"/>
      <c r="H94" s="90"/>
      <c r="I94" s="50"/>
      <c r="J94" s="58"/>
    </row>
    <row r="95" spans="1:10" x14ac:dyDescent="0.55000000000000004">
      <c r="A95" s="67">
        <f t="shared" si="1"/>
        <v>93</v>
      </c>
      <c r="B95" s="11" t="str">
        <f>IF(ISERROR(VLOOKUP(C95,'ジョブ一覧(概要)'!$C$3:$I$23,6,FALSE)),"",VLOOKUP(C95,'ジョブ一覧(概要)'!$C$3:$I$23,6,FALSE))</f>
        <v>JP1⑤</v>
      </c>
      <c r="C95" s="11" t="s">
        <v>187</v>
      </c>
      <c r="D95" s="11" t="s">
        <v>206</v>
      </c>
      <c r="E95" s="11" t="s">
        <v>207</v>
      </c>
      <c r="F95" s="12" t="s">
        <v>10</v>
      </c>
      <c r="G95" s="90"/>
      <c r="H95" s="90"/>
      <c r="I95" s="50"/>
      <c r="J95" s="58"/>
    </row>
    <row r="96" spans="1:10" x14ac:dyDescent="0.55000000000000004">
      <c r="A96" s="68">
        <f t="shared" si="1"/>
        <v>94</v>
      </c>
      <c r="B96" s="12" t="str">
        <f>IF(ISERROR(VLOOKUP(C96,'ジョブ一覧(概要)'!$C$3:$I$23,6,FALSE)),"",VLOOKUP(C96,'ジョブ一覧(概要)'!$C$3:$I$23,6,FALSE))</f>
        <v>JP1⑤</v>
      </c>
      <c r="C96" s="12" t="s">
        <v>187</v>
      </c>
      <c r="D96" s="12" t="s">
        <v>208</v>
      </c>
      <c r="E96" s="12" t="s">
        <v>209</v>
      </c>
      <c r="F96" s="12" t="s">
        <v>10</v>
      </c>
      <c r="G96" s="90"/>
      <c r="H96" s="90"/>
      <c r="I96" s="50"/>
      <c r="J96" s="58"/>
    </row>
    <row r="97" spans="1:10" x14ac:dyDescent="0.55000000000000004">
      <c r="A97" s="68">
        <f t="shared" si="1"/>
        <v>95</v>
      </c>
      <c r="B97" s="12" t="str">
        <f>IF(ISERROR(VLOOKUP(C97,'ジョブ一覧(概要)'!$C$3:$I$23,6,FALSE)),"",VLOOKUP(C97,'ジョブ一覧(概要)'!$C$3:$I$23,6,FALSE))</f>
        <v>JP1⑤</v>
      </c>
      <c r="C97" s="12" t="s">
        <v>187</v>
      </c>
      <c r="D97" s="12" t="s">
        <v>210</v>
      </c>
      <c r="E97" s="12" t="s">
        <v>211</v>
      </c>
      <c r="F97" s="12" t="s">
        <v>10</v>
      </c>
      <c r="G97" s="90"/>
      <c r="H97" s="90"/>
      <c r="I97" s="50"/>
      <c r="J97" s="58"/>
    </row>
    <row r="98" spans="1:10" x14ac:dyDescent="0.55000000000000004">
      <c r="A98" s="68">
        <f t="shared" si="1"/>
        <v>96</v>
      </c>
      <c r="B98" s="12" t="str">
        <f>IF(ISERROR(VLOOKUP(C98,'ジョブ一覧(概要)'!$C$3:$I$23,6,FALSE)),"",VLOOKUP(C98,'ジョブ一覧(概要)'!$C$3:$I$23,6,FALSE))</f>
        <v>JP1⑤</v>
      </c>
      <c r="C98" s="12" t="s">
        <v>187</v>
      </c>
      <c r="D98" s="12" t="s">
        <v>212</v>
      </c>
      <c r="E98" s="12" t="s">
        <v>213</v>
      </c>
      <c r="F98" s="12" t="s">
        <v>10</v>
      </c>
      <c r="G98" s="90"/>
      <c r="H98" s="90"/>
      <c r="I98" s="50"/>
      <c r="J98" s="58"/>
    </row>
    <row r="99" spans="1:10" x14ac:dyDescent="0.55000000000000004">
      <c r="A99" s="68">
        <f t="shared" si="1"/>
        <v>97</v>
      </c>
      <c r="B99" s="12" t="str">
        <f>IF(ISERROR(VLOOKUP(C99,'ジョブ一覧(概要)'!$C$3:$I$23,6,FALSE)),"",VLOOKUP(C99,'ジョブ一覧(概要)'!$C$3:$I$23,6,FALSE))</f>
        <v>JP1⑤</v>
      </c>
      <c r="C99" s="12" t="s">
        <v>187</v>
      </c>
      <c r="D99" s="12" t="s">
        <v>214</v>
      </c>
      <c r="E99" s="12" t="s">
        <v>215</v>
      </c>
      <c r="F99" s="12" t="s">
        <v>10</v>
      </c>
      <c r="G99" s="90"/>
      <c r="H99" s="90"/>
      <c r="I99" s="50"/>
      <c r="J99" s="58"/>
    </row>
    <row r="100" spans="1:10" x14ac:dyDescent="0.55000000000000004">
      <c r="A100" s="68">
        <f t="shared" si="1"/>
        <v>98</v>
      </c>
      <c r="B100" s="12" t="str">
        <f>IF(ISERROR(VLOOKUP(C100,'ジョブ一覧(概要)'!$C$3:$I$23,6,FALSE)),"",VLOOKUP(C100,'ジョブ一覧(概要)'!$C$3:$I$23,6,FALSE))</f>
        <v>JP1⑤</v>
      </c>
      <c r="C100" s="12" t="s">
        <v>187</v>
      </c>
      <c r="D100" s="12" t="s">
        <v>216</v>
      </c>
      <c r="E100" s="12" t="s">
        <v>217</v>
      </c>
      <c r="F100" s="12" t="s">
        <v>10</v>
      </c>
      <c r="G100" s="90"/>
      <c r="H100" s="90"/>
      <c r="I100" s="50"/>
      <c r="J100" s="58"/>
    </row>
    <row r="101" spans="1:10" x14ac:dyDescent="0.55000000000000004">
      <c r="A101" s="68">
        <f t="shared" si="1"/>
        <v>99</v>
      </c>
      <c r="B101" s="12" t="str">
        <f>IF(ISERROR(VLOOKUP(C101,'ジョブ一覧(概要)'!$C$3:$I$23,6,FALSE)),"",VLOOKUP(C101,'ジョブ一覧(概要)'!$C$3:$I$23,6,FALSE))</f>
        <v>JP1⑤</v>
      </c>
      <c r="C101" s="12" t="s">
        <v>187</v>
      </c>
      <c r="D101" s="12" t="s">
        <v>218</v>
      </c>
      <c r="E101" s="12" t="s">
        <v>219</v>
      </c>
      <c r="F101" s="12" t="s">
        <v>10</v>
      </c>
      <c r="G101" s="90"/>
      <c r="H101" s="90"/>
      <c r="I101" s="50"/>
      <c r="J101" s="58"/>
    </row>
    <row r="102" spans="1:10" ht="15" thickBot="1" x14ac:dyDescent="0.6">
      <c r="A102" s="69">
        <f t="shared" si="1"/>
        <v>100</v>
      </c>
      <c r="B102" s="70" t="str">
        <f>IF(ISERROR(VLOOKUP(C102,'ジョブ一覧(概要)'!$C$3:$I$23,6,FALSE)),"",VLOOKUP(C102,'ジョブ一覧(概要)'!$C$3:$I$23,6,FALSE))</f>
        <v>JP1⑤</v>
      </c>
      <c r="C102" s="70" t="s">
        <v>187</v>
      </c>
      <c r="D102" s="70" t="s">
        <v>220</v>
      </c>
      <c r="E102" s="70" t="s">
        <v>220</v>
      </c>
      <c r="F102" s="70" t="s">
        <v>10</v>
      </c>
      <c r="G102" s="91"/>
      <c r="H102" s="91"/>
      <c r="I102" s="71"/>
      <c r="J102" s="62"/>
    </row>
    <row r="103" spans="1:10" x14ac:dyDescent="0.55000000000000004">
      <c r="A103" s="63">
        <f t="shared" si="1"/>
        <v>101</v>
      </c>
      <c r="B103" s="64" t="str">
        <f>IF(ISERROR(VLOOKUP(C103,'ジョブ一覧(概要)'!$C$3:$I$23,6,FALSE)),"",VLOOKUP(C103,'ジョブ一覧(概要)'!$C$3:$I$23,6,FALSE))</f>
        <v>JP1④</v>
      </c>
      <c r="C103" s="64" t="s">
        <v>221</v>
      </c>
      <c r="D103" s="64" t="s">
        <v>222</v>
      </c>
      <c r="E103" s="64" t="s">
        <v>223</v>
      </c>
      <c r="F103" s="65" t="s">
        <v>10</v>
      </c>
      <c r="G103" s="89"/>
      <c r="H103" s="89"/>
      <c r="I103" s="66"/>
      <c r="J103" s="56"/>
    </row>
    <row r="104" spans="1:10" x14ac:dyDescent="0.55000000000000004">
      <c r="A104" s="67">
        <f t="shared" si="1"/>
        <v>102</v>
      </c>
      <c r="B104" s="11" t="str">
        <f>IF(ISERROR(VLOOKUP(C104,'ジョブ一覧(概要)'!$C$3:$I$23,6,FALSE)),"",VLOOKUP(C104,'ジョブ一覧(概要)'!$C$3:$I$23,6,FALSE))</f>
        <v>JP1④</v>
      </c>
      <c r="C104" s="11" t="s">
        <v>221</v>
      </c>
      <c r="D104" s="11" t="s">
        <v>224</v>
      </c>
      <c r="E104" s="11" t="s">
        <v>225</v>
      </c>
      <c r="F104" s="12" t="s">
        <v>10</v>
      </c>
      <c r="G104" s="90"/>
      <c r="H104" s="90"/>
      <c r="I104" s="50"/>
      <c r="J104" s="58"/>
    </row>
    <row r="105" spans="1:10" ht="15" thickBot="1" x14ac:dyDescent="0.6">
      <c r="A105" s="82">
        <f t="shared" si="1"/>
        <v>103</v>
      </c>
      <c r="B105" s="83" t="str">
        <f>IF(ISERROR(VLOOKUP(C105,'ジョブ一覧(概要)'!$C$3:$I$23,6,FALSE)),"",VLOOKUP(C105,'ジョブ一覧(概要)'!$C$3:$I$23,6,FALSE))</f>
        <v>JP1④</v>
      </c>
      <c r="C105" s="83" t="s">
        <v>221</v>
      </c>
      <c r="D105" s="83" t="s">
        <v>226</v>
      </c>
      <c r="E105" s="83" t="s">
        <v>227</v>
      </c>
      <c r="F105" s="70" t="s">
        <v>10</v>
      </c>
      <c r="G105" s="91"/>
      <c r="H105" s="91"/>
      <c r="I105" s="71"/>
      <c r="J105" s="62"/>
    </row>
    <row r="106" spans="1:10" x14ac:dyDescent="0.55000000000000004">
      <c r="A106" s="53">
        <f t="shared" si="1"/>
        <v>104</v>
      </c>
      <c r="B106" s="54" t="str">
        <f>IF(ISERROR(VLOOKUP(C106,'ジョブ一覧(概要)'!$C$3:$I$23,6,FALSE)),"",VLOOKUP(C106,'ジョブ一覧(概要)'!$C$3:$I$23,6,FALSE))</f>
        <v>JP1②</v>
      </c>
      <c r="C106" s="54" t="s">
        <v>228</v>
      </c>
      <c r="D106" s="54" t="s">
        <v>229</v>
      </c>
      <c r="E106" s="54" t="s">
        <v>230</v>
      </c>
      <c r="F106" s="54" t="s">
        <v>10</v>
      </c>
      <c r="G106" s="89"/>
      <c r="H106" s="89"/>
      <c r="I106" s="55"/>
      <c r="J106" s="56"/>
    </row>
    <row r="107" spans="1:10" x14ac:dyDescent="0.55000000000000004">
      <c r="A107" s="57">
        <f t="shared" si="1"/>
        <v>105</v>
      </c>
      <c r="B107" s="13" t="str">
        <f>IF(ISERROR(VLOOKUP(C107,'ジョブ一覧(概要)'!$C$3:$I$23,6,FALSE)),"",VLOOKUP(C107,'ジョブ一覧(概要)'!$C$3:$I$23,6,FALSE))</f>
        <v>JP1②</v>
      </c>
      <c r="C107" s="13" t="s">
        <v>228</v>
      </c>
      <c r="D107" s="13" t="s">
        <v>231</v>
      </c>
      <c r="E107" s="13" t="s">
        <v>232</v>
      </c>
      <c r="F107" s="13" t="s">
        <v>10</v>
      </c>
      <c r="G107" s="90"/>
      <c r="H107" s="90"/>
      <c r="I107" s="51"/>
      <c r="J107" s="58"/>
    </row>
    <row r="108" spans="1:10" x14ac:dyDescent="0.55000000000000004">
      <c r="A108" s="57">
        <f t="shared" si="1"/>
        <v>106</v>
      </c>
      <c r="B108" s="13" t="str">
        <f>IF(ISERROR(VLOOKUP(C108,'ジョブ一覧(概要)'!$C$3:$I$23,6,FALSE)),"",VLOOKUP(C108,'ジョブ一覧(概要)'!$C$3:$I$23,6,FALSE))</f>
        <v>JP1②</v>
      </c>
      <c r="C108" s="13" t="s">
        <v>228</v>
      </c>
      <c r="D108" s="13" t="s">
        <v>233</v>
      </c>
      <c r="E108" s="13" t="s">
        <v>234</v>
      </c>
      <c r="F108" s="13" t="s">
        <v>10</v>
      </c>
      <c r="G108" s="90"/>
      <c r="H108" s="90"/>
      <c r="I108" s="51"/>
      <c r="J108" s="58"/>
    </row>
    <row r="109" spans="1:10" x14ac:dyDescent="0.55000000000000004">
      <c r="A109" s="57">
        <f t="shared" si="1"/>
        <v>107</v>
      </c>
      <c r="B109" s="13" t="str">
        <f>IF(ISERROR(VLOOKUP(C109,'ジョブ一覧(概要)'!$C$3:$I$23,6,FALSE)),"",VLOOKUP(C109,'ジョブ一覧(概要)'!$C$3:$I$23,6,FALSE))</f>
        <v>JP1②</v>
      </c>
      <c r="C109" s="13" t="s">
        <v>228</v>
      </c>
      <c r="D109" s="13" t="s">
        <v>235</v>
      </c>
      <c r="E109" s="13" t="s">
        <v>236</v>
      </c>
      <c r="F109" s="13" t="s">
        <v>10</v>
      </c>
      <c r="G109" s="90"/>
      <c r="H109" s="90"/>
      <c r="I109" s="51"/>
      <c r="J109" s="58"/>
    </row>
    <row r="110" spans="1:10" x14ac:dyDescent="0.55000000000000004">
      <c r="A110" s="57">
        <f t="shared" si="1"/>
        <v>108</v>
      </c>
      <c r="B110" s="13" t="str">
        <f>IF(ISERROR(VLOOKUP(C110,'ジョブ一覧(概要)'!$C$3:$I$23,6,FALSE)),"",VLOOKUP(C110,'ジョブ一覧(概要)'!$C$3:$I$23,6,FALSE))</f>
        <v>JP1②</v>
      </c>
      <c r="C110" s="13" t="s">
        <v>228</v>
      </c>
      <c r="D110" s="13" t="s">
        <v>237</v>
      </c>
      <c r="E110" s="13" t="s">
        <v>238</v>
      </c>
      <c r="F110" s="13" t="s">
        <v>10</v>
      </c>
      <c r="G110" s="90"/>
      <c r="H110" s="90"/>
      <c r="I110" s="51"/>
      <c r="J110" s="58"/>
    </row>
    <row r="111" spans="1:10" x14ac:dyDescent="0.55000000000000004">
      <c r="A111" s="57">
        <f t="shared" si="1"/>
        <v>109</v>
      </c>
      <c r="B111" s="13" t="str">
        <f>IF(ISERROR(VLOOKUP(C111,'ジョブ一覧(概要)'!$C$3:$I$23,6,FALSE)),"",VLOOKUP(C111,'ジョブ一覧(概要)'!$C$3:$I$23,6,FALSE))</f>
        <v>JP1②</v>
      </c>
      <c r="C111" s="13" t="s">
        <v>228</v>
      </c>
      <c r="D111" s="13" t="s">
        <v>239</v>
      </c>
      <c r="E111" s="13" t="s">
        <v>240</v>
      </c>
      <c r="F111" s="13" t="s">
        <v>10</v>
      </c>
      <c r="G111" s="90"/>
      <c r="H111" s="90"/>
      <c r="I111" s="51"/>
      <c r="J111" s="58"/>
    </row>
    <row r="112" spans="1:10" x14ac:dyDescent="0.55000000000000004">
      <c r="A112" s="57">
        <f t="shared" si="1"/>
        <v>110</v>
      </c>
      <c r="B112" s="13" t="str">
        <f>IF(ISERROR(VLOOKUP(C112,'ジョブ一覧(概要)'!$C$3:$I$23,6,FALSE)),"",VLOOKUP(C112,'ジョブ一覧(概要)'!$C$3:$I$23,6,FALSE))</f>
        <v>JP1②</v>
      </c>
      <c r="C112" s="13" t="s">
        <v>228</v>
      </c>
      <c r="D112" s="13" t="s">
        <v>241</v>
      </c>
      <c r="E112" s="13" t="s">
        <v>242</v>
      </c>
      <c r="F112" s="13" t="s">
        <v>10</v>
      </c>
      <c r="G112" s="90"/>
      <c r="H112" s="90"/>
      <c r="I112" s="51"/>
      <c r="J112" s="58"/>
    </row>
    <row r="113" spans="1:10" x14ac:dyDescent="0.55000000000000004">
      <c r="A113" s="57">
        <f t="shared" si="1"/>
        <v>111</v>
      </c>
      <c r="B113" s="13" t="str">
        <f>IF(ISERROR(VLOOKUP(C113,'ジョブ一覧(概要)'!$C$3:$I$23,6,FALSE)),"",VLOOKUP(C113,'ジョブ一覧(概要)'!$C$3:$I$23,6,FALSE))</f>
        <v>JP1②</v>
      </c>
      <c r="C113" s="13" t="s">
        <v>228</v>
      </c>
      <c r="D113" s="13" t="s">
        <v>243</v>
      </c>
      <c r="E113" s="13" t="s">
        <v>244</v>
      </c>
      <c r="F113" s="13" t="s">
        <v>10</v>
      </c>
      <c r="G113" s="90"/>
      <c r="H113" s="90"/>
      <c r="I113" s="51"/>
      <c r="J113" s="58"/>
    </row>
    <row r="114" spans="1:10" x14ac:dyDescent="0.55000000000000004">
      <c r="A114" s="57">
        <f t="shared" si="1"/>
        <v>112</v>
      </c>
      <c r="B114" s="13" t="str">
        <f>IF(ISERROR(VLOOKUP(C114,'ジョブ一覧(概要)'!$C$3:$I$23,6,FALSE)),"",VLOOKUP(C114,'ジョブ一覧(概要)'!$C$3:$I$23,6,FALSE))</f>
        <v>JP1②</v>
      </c>
      <c r="C114" s="13" t="s">
        <v>228</v>
      </c>
      <c r="D114" s="13" t="s">
        <v>245</v>
      </c>
      <c r="E114" s="13" t="s">
        <v>246</v>
      </c>
      <c r="F114" s="13" t="s">
        <v>10</v>
      </c>
      <c r="G114" s="90"/>
      <c r="H114" s="90"/>
      <c r="I114" s="51"/>
      <c r="J114" s="58"/>
    </row>
    <row r="115" spans="1:10" x14ac:dyDescent="0.55000000000000004">
      <c r="A115" s="57">
        <f t="shared" si="1"/>
        <v>113</v>
      </c>
      <c r="B115" s="13" t="str">
        <f>IF(ISERROR(VLOOKUP(C115,'ジョブ一覧(概要)'!$C$3:$I$23,6,FALSE)),"",VLOOKUP(C115,'ジョブ一覧(概要)'!$C$3:$I$23,6,FALSE))</f>
        <v>JP1②</v>
      </c>
      <c r="C115" s="13" t="s">
        <v>228</v>
      </c>
      <c r="D115" s="13" t="s">
        <v>247</v>
      </c>
      <c r="E115" s="13" t="s">
        <v>248</v>
      </c>
      <c r="F115" s="13" t="s">
        <v>10</v>
      </c>
      <c r="G115" s="90"/>
      <c r="H115" s="90"/>
      <c r="I115" s="51"/>
      <c r="J115" s="58"/>
    </row>
    <row r="116" spans="1:10" x14ac:dyDescent="0.55000000000000004">
      <c r="A116" s="57">
        <f t="shared" si="1"/>
        <v>114</v>
      </c>
      <c r="B116" s="13" t="str">
        <f>IF(ISERROR(VLOOKUP(C116,'ジョブ一覧(概要)'!$C$3:$I$23,6,FALSE)),"",VLOOKUP(C116,'ジョブ一覧(概要)'!$C$3:$I$23,6,FALSE))</f>
        <v>JP1②</v>
      </c>
      <c r="C116" s="13" t="s">
        <v>228</v>
      </c>
      <c r="D116" s="13" t="s">
        <v>249</v>
      </c>
      <c r="E116" s="13" t="s">
        <v>250</v>
      </c>
      <c r="F116" s="13" t="s">
        <v>10</v>
      </c>
      <c r="G116" s="90"/>
      <c r="H116" s="90"/>
      <c r="I116" s="51"/>
      <c r="J116" s="58"/>
    </row>
    <row r="117" spans="1:10" x14ac:dyDescent="0.55000000000000004">
      <c r="A117" s="57">
        <f t="shared" si="1"/>
        <v>115</v>
      </c>
      <c r="B117" s="13" t="str">
        <f>IF(ISERROR(VLOOKUP(C117,'ジョブ一覧(概要)'!$C$3:$I$23,6,FALSE)),"",VLOOKUP(C117,'ジョブ一覧(概要)'!$C$3:$I$23,6,FALSE))</f>
        <v>JP1②</v>
      </c>
      <c r="C117" s="13" t="s">
        <v>228</v>
      </c>
      <c r="D117" s="13" t="s">
        <v>251</v>
      </c>
      <c r="E117" s="13" t="s">
        <v>252</v>
      </c>
      <c r="F117" s="13" t="s">
        <v>10</v>
      </c>
      <c r="G117" s="90"/>
      <c r="H117" s="90"/>
      <c r="I117" s="51"/>
      <c r="J117" s="58"/>
    </row>
    <row r="118" spans="1:10" x14ac:dyDescent="0.55000000000000004">
      <c r="A118" s="57">
        <f t="shared" si="1"/>
        <v>116</v>
      </c>
      <c r="B118" s="13" t="str">
        <f>IF(ISERROR(VLOOKUP(C118,'ジョブ一覧(概要)'!$C$3:$I$23,6,FALSE)),"",VLOOKUP(C118,'ジョブ一覧(概要)'!$C$3:$I$23,6,FALSE))</f>
        <v>JP1②</v>
      </c>
      <c r="C118" s="13" t="s">
        <v>228</v>
      </c>
      <c r="D118" s="13" t="s">
        <v>253</v>
      </c>
      <c r="E118" s="13" t="s">
        <v>254</v>
      </c>
      <c r="F118" s="13" t="s">
        <v>10</v>
      </c>
      <c r="G118" s="90"/>
      <c r="H118" s="90"/>
      <c r="I118" s="51"/>
      <c r="J118" s="58"/>
    </row>
    <row r="119" spans="1:10" x14ac:dyDescent="0.55000000000000004">
      <c r="A119" s="57">
        <f t="shared" si="1"/>
        <v>117</v>
      </c>
      <c r="B119" s="13" t="str">
        <f>IF(ISERROR(VLOOKUP(C119,'ジョブ一覧(概要)'!$C$3:$I$23,6,FALSE)),"",VLOOKUP(C119,'ジョブ一覧(概要)'!$C$3:$I$23,6,FALSE))</f>
        <v>JP1②</v>
      </c>
      <c r="C119" s="13" t="s">
        <v>228</v>
      </c>
      <c r="D119" s="13" t="s">
        <v>255</v>
      </c>
      <c r="E119" s="13" t="s">
        <v>256</v>
      </c>
      <c r="F119" s="13" t="s">
        <v>10</v>
      </c>
      <c r="G119" s="90"/>
      <c r="H119" s="90"/>
      <c r="I119" s="51"/>
      <c r="J119" s="58"/>
    </row>
    <row r="120" spans="1:10" x14ac:dyDescent="0.55000000000000004">
      <c r="A120" s="57">
        <f t="shared" si="1"/>
        <v>118</v>
      </c>
      <c r="B120" s="13" t="str">
        <f>IF(ISERROR(VLOOKUP(C120,'ジョブ一覧(概要)'!$C$3:$I$23,6,FALSE)),"",VLOOKUP(C120,'ジョブ一覧(概要)'!$C$3:$I$23,6,FALSE))</f>
        <v>JP1②</v>
      </c>
      <c r="C120" s="13" t="s">
        <v>228</v>
      </c>
      <c r="D120" s="13" t="s">
        <v>257</v>
      </c>
      <c r="E120" s="13" t="s">
        <v>258</v>
      </c>
      <c r="F120" s="13" t="s">
        <v>10</v>
      </c>
      <c r="G120" s="90"/>
      <c r="H120" s="90"/>
      <c r="I120" s="51"/>
      <c r="J120" s="58"/>
    </row>
    <row r="121" spans="1:10" ht="15" thickBot="1" x14ac:dyDescent="0.6">
      <c r="A121" s="59">
        <f t="shared" si="1"/>
        <v>119</v>
      </c>
      <c r="B121" s="60" t="str">
        <f>IF(ISERROR(VLOOKUP(C121,'ジョブ一覧(概要)'!$C$3:$I$23,6,FALSE)),"",VLOOKUP(C121,'ジョブ一覧(概要)'!$C$3:$I$23,6,FALSE))</f>
        <v>JP1②</v>
      </c>
      <c r="C121" s="60" t="s">
        <v>228</v>
      </c>
      <c r="D121" s="60" t="s">
        <v>259</v>
      </c>
      <c r="E121" s="60" t="s">
        <v>260</v>
      </c>
      <c r="F121" s="60" t="s">
        <v>10</v>
      </c>
      <c r="G121" s="91"/>
      <c r="H121" s="91"/>
      <c r="I121" s="61"/>
      <c r="J121" s="62"/>
    </row>
    <row r="122" spans="1:10" x14ac:dyDescent="0.55000000000000004">
      <c r="A122" s="63">
        <f t="shared" si="1"/>
        <v>120</v>
      </c>
      <c r="B122" s="64" t="str">
        <f>IF(ISERROR(VLOOKUP(C122,'ジョブ一覧(概要)'!$C$3:$I$23,6,FALSE)),"",VLOOKUP(C122,'ジョブ一覧(概要)'!$C$3:$I$23,6,FALSE))</f>
        <v>JP1②</v>
      </c>
      <c r="C122" s="64" t="s">
        <v>261</v>
      </c>
      <c r="D122" s="64" t="s">
        <v>262</v>
      </c>
      <c r="E122" s="64" t="s">
        <v>263</v>
      </c>
      <c r="F122" s="65" t="s">
        <v>10</v>
      </c>
      <c r="G122" s="89"/>
      <c r="H122" s="89"/>
      <c r="I122" s="66"/>
      <c r="J122" s="56"/>
    </row>
    <row r="123" spans="1:10" x14ac:dyDescent="0.55000000000000004">
      <c r="A123" s="67">
        <f t="shared" si="1"/>
        <v>121</v>
      </c>
      <c r="B123" s="11" t="str">
        <f>IF(ISERROR(VLOOKUP(C123,'ジョブ一覧(概要)'!$C$3:$I$23,6,FALSE)),"",VLOOKUP(C123,'ジョブ一覧(概要)'!$C$3:$I$23,6,FALSE))</f>
        <v>JP1②</v>
      </c>
      <c r="C123" s="11" t="s">
        <v>261</v>
      </c>
      <c r="D123" s="11" t="s">
        <v>264</v>
      </c>
      <c r="E123" s="11" t="s">
        <v>265</v>
      </c>
      <c r="F123" s="12" t="s">
        <v>10</v>
      </c>
      <c r="G123" s="90"/>
      <c r="H123" s="90"/>
      <c r="I123" s="50"/>
      <c r="J123" s="58"/>
    </row>
    <row r="124" spans="1:10" x14ac:dyDescent="0.55000000000000004">
      <c r="A124" s="67">
        <f t="shared" si="1"/>
        <v>122</v>
      </c>
      <c r="B124" s="11" t="str">
        <f>IF(ISERROR(VLOOKUP(C124,'ジョブ一覧(概要)'!$C$3:$I$23,6,FALSE)),"",VLOOKUP(C124,'ジョブ一覧(概要)'!$C$3:$I$23,6,FALSE))</f>
        <v>JP1②</v>
      </c>
      <c r="C124" s="11" t="s">
        <v>261</v>
      </c>
      <c r="D124" s="11" t="s">
        <v>266</v>
      </c>
      <c r="E124" s="11" t="s">
        <v>267</v>
      </c>
      <c r="F124" s="12" t="s">
        <v>10</v>
      </c>
      <c r="G124" s="90"/>
      <c r="H124" s="90"/>
      <c r="I124" s="50"/>
      <c r="J124" s="58"/>
    </row>
    <row r="125" spans="1:10" x14ac:dyDescent="0.55000000000000004">
      <c r="A125" s="67">
        <f t="shared" si="1"/>
        <v>123</v>
      </c>
      <c r="B125" s="11" t="str">
        <f>IF(ISERROR(VLOOKUP(C125,'ジョブ一覧(概要)'!$C$3:$I$23,6,FALSE)),"",VLOOKUP(C125,'ジョブ一覧(概要)'!$C$3:$I$23,6,FALSE))</f>
        <v>JP1②</v>
      </c>
      <c r="C125" s="11" t="s">
        <v>261</v>
      </c>
      <c r="D125" s="11" t="s">
        <v>268</v>
      </c>
      <c r="E125" s="11" t="s">
        <v>269</v>
      </c>
      <c r="F125" s="12" t="s">
        <v>10</v>
      </c>
      <c r="G125" s="90"/>
      <c r="H125" s="90"/>
      <c r="I125" s="50"/>
      <c r="J125" s="58"/>
    </row>
    <row r="126" spans="1:10" x14ac:dyDescent="0.55000000000000004">
      <c r="A126" s="68">
        <f t="shared" si="1"/>
        <v>124</v>
      </c>
      <c r="B126" s="12" t="str">
        <f>IF(ISERROR(VLOOKUP(C126,'ジョブ一覧(概要)'!$C$3:$I$23,6,FALSE)),"",VLOOKUP(C126,'ジョブ一覧(概要)'!$C$3:$I$23,6,FALSE))</f>
        <v>JP1②</v>
      </c>
      <c r="C126" s="12" t="s">
        <v>261</v>
      </c>
      <c r="D126" s="12" t="s">
        <v>270</v>
      </c>
      <c r="E126" s="12" t="s">
        <v>271</v>
      </c>
      <c r="F126" s="12" t="s">
        <v>10</v>
      </c>
      <c r="G126" s="90"/>
      <c r="H126" s="90"/>
      <c r="I126" s="50"/>
      <c r="J126" s="58"/>
    </row>
    <row r="127" spans="1:10" x14ac:dyDescent="0.55000000000000004">
      <c r="A127" s="68">
        <f t="shared" si="1"/>
        <v>125</v>
      </c>
      <c r="B127" s="12" t="str">
        <f>IF(ISERROR(VLOOKUP(C127,'ジョブ一覧(概要)'!$C$3:$I$23,6,FALSE)),"",VLOOKUP(C127,'ジョブ一覧(概要)'!$C$3:$I$23,6,FALSE))</f>
        <v>JP1②</v>
      </c>
      <c r="C127" s="12" t="s">
        <v>261</v>
      </c>
      <c r="D127" s="12" t="s">
        <v>272</v>
      </c>
      <c r="E127" s="12" t="s">
        <v>273</v>
      </c>
      <c r="F127" s="12" t="s">
        <v>10</v>
      </c>
      <c r="G127" s="90"/>
      <c r="H127" s="90"/>
      <c r="I127" s="50"/>
      <c r="J127" s="58"/>
    </row>
    <row r="128" spans="1:10" x14ac:dyDescent="0.55000000000000004">
      <c r="A128" s="68">
        <f t="shared" si="1"/>
        <v>126</v>
      </c>
      <c r="B128" s="12" t="str">
        <f>IF(ISERROR(VLOOKUP(C128,'ジョブ一覧(概要)'!$C$3:$I$23,6,FALSE)),"",VLOOKUP(C128,'ジョブ一覧(概要)'!$C$3:$I$23,6,FALSE))</f>
        <v>JP1②</v>
      </c>
      <c r="C128" s="12" t="s">
        <v>261</v>
      </c>
      <c r="D128" s="12" t="s">
        <v>274</v>
      </c>
      <c r="E128" s="12" t="s">
        <v>275</v>
      </c>
      <c r="F128" s="12" t="s">
        <v>10</v>
      </c>
      <c r="G128" s="90"/>
      <c r="H128" s="90"/>
      <c r="I128" s="50"/>
      <c r="J128" s="58"/>
    </row>
    <row r="129" spans="1:10" x14ac:dyDescent="0.55000000000000004">
      <c r="A129" s="68">
        <f t="shared" si="1"/>
        <v>127</v>
      </c>
      <c r="B129" s="12" t="str">
        <f>IF(ISERROR(VLOOKUP(C129,'ジョブ一覧(概要)'!$C$3:$I$23,6,FALSE)),"",VLOOKUP(C129,'ジョブ一覧(概要)'!$C$3:$I$23,6,FALSE))</f>
        <v>JP1②</v>
      </c>
      <c r="C129" s="12" t="s">
        <v>261</v>
      </c>
      <c r="D129" s="12" t="s">
        <v>276</v>
      </c>
      <c r="E129" s="12" t="s">
        <v>277</v>
      </c>
      <c r="F129" s="12" t="s">
        <v>10</v>
      </c>
      <c r="G129" s="90"/>
      <c r="H129" s="90"/>
      <c r="I129" s="50"/>
      <c r="J129" s="58"/>
    </row>
    <row r="130" spans="1:10" x14ac:dyDescent="0.55000000000000004">
      <c r="A130" s="68">
        <f t="shared" si="1"/>
        <v>128</v>
      </c>
      <c r="B130" s="12" t="str">
        <f>IF(ISERROR(VLOOKUP(C130,'ジョブ一覧(概要)'!$C$3:$I$23,6,FALSE)),"",VLOOKUP(C130,'ジョブ一覧(概要)'!$C$3:$I$23,6,FALSE))</f>
        <v>JP1②</v>
      </c>
      <c r="C130" s="12" t="s">
        <v>261</v>
      </c>
      <c r="D130" s="12" t="s">
        <v>278</v>
      </c>
      <c r="E130" s="12" t="s">
        <v>279</v>
      </c>
      <c r="F130" s="12" t="s">
        <v>10</v>
      </c>
      <c r="G130" s="90"/>
      <c r="H130" s="90"/>
      <c r="I130" s="50"/>
      <c r="J130" s="58"/>
    </row>
    <row r="131" spans="1:10" ht="15" thickBot="1" x14ac:dyDescent="0.6">
      <c r="A131" s="69">
        <f t="shared" si="1"/>
        <v>129</v>
      </c>
      <c r="B131" s="70" t="str">
        <f>IF(ISERROR(VLOOKUP(C131,'ジョブ一覧(概要)'!$C$3:$I$23,6,FALSE)),"",VLOOKUP(C131,'ジョブ一覧(概要)'!$C$3:$I$23,6,FALSE))</f>
        <v>JP1②</v>
      </c>
      <c r="C131" s="70" t="s">
        <v>261</v>
      </c>
      <c r="D131" s="70" t="s">
        <v>280</v>
      </c>
      <c r="E131" s="70" t="s">
        <v>281</v>
      </c>
      <c r="F131" s="70" t="s">
        <v>10</v>
      </c>
      <c r="G131" s="91"/>
      <c r="H131" s="91"/>
      <c r="I131" s="71"/>
      <c r="J131" s="62"/>
    </row>
    <row r="132" spans="1:10" x14ac:dyDescent="0.55000000000000004">
      <c r="A132" s="72">
        <f t="shared" ref="A132:A174" si="2">ROW()-2</f>
        <v>130</v>
      </c>
      <c r="B132" s="65" t="str">
        <f>IF(ISERROR(VLOOKUP(C132,'ジョブ一覧(概要)'!$C$3:$I$23,6,FALSE)),"",VLOOKUP(C132,'ジョブ一覧(概要)'!$C$3:$I$23,6,FALSE))</f>
        <v>JP1⑤</v>
      </c>
      <c r="C132" s="65" t="s">
        <v>282</v>
      </c>
      <c r="D132" s="65" t="s">
        <v>283</v>
      </c>
      <c r="E132" s="65" t="s">
        <v>284</v>
      </c>
      <c r="F132" s="65" t="s">
        <v>10</v>
      </c>
      <c r="G132" s="89"/>
      <c r="H132" s="89"/>
      <c r="I132" s="66"/>
      <c r="J132" s="56"/>
    </row>
    <row r="133" spans="1:10" x14ac:dyDescent="0.55000000000000004">
      <c r="A133" s="68">
        <f t="shared" si="2"/>
        <v>131</v>
      </c>
      <c r="B133" s="12" t="str">
        <f>IF(ISERROR(VLOOKUP(C133,'ジョブ一覧(概要)'!$C$3:$I$23,6,FALSE)),"",VLOOKUP(C133,'ジョブ一覧(概要)'!$C$3:$I$23,6,FALSE))</f>
        <v>JP1⑤</v>
      </c>
      <c r="C133" s="12" t="s">
        <v>282</v>
      </c>
      <c r="D133" s="12" t="s">
        <v>285</v>
      </c>
      <c r="E133" s="12" t="s">
        <v>286</v>
      </c>
      <c r="F133" s="12" t="s">
        <v>10</v>
      </c>
      <c r="G133" s="90"/>
      <c r="H133" s="90"/>
      <c r="I133" s="50"/>
      <c r="J133" s="58"/>
    </row>
    <row r="134" spans="1:10" x14ac:dyDescent="0.55000000000000004">
      <c r="A134" s="68">
        <f t="shared" si="2"/>
        <v>132</v>
      </c>
      <c r="B134" s="12" t="str">
        <f>IF(ISERROR(VLOOKUP(C134,'ジョブ一覧(概要)'!$C$3:$I$23,6,FALSE)),"",VLOOKUP(C134,'ジョブ一覧(概要)'!$C$3:$I$23,6,FALSE))</f>
        <v>JP1⑤</v>
      </c>
      <c r="C134" s="12" t="s">
        <v>282</v>
      </c>
      <c r="D134" s="12" t="s">
        <v>287</v>
      </c>
      <c r="E134" s="12" t="s">
        <v>288</v>
      </c>
      <c r="F134" s="12" t="s">
        <v>10</v>
      </c>
      <c r="G134" s="90"/>
      <c r="H134" s="90"/>
      <c r="I134" s="50"/>
      <c r="J134" s="58"/>
    </row>
    <row r="135" spans="1:10" x14ac:dyDescent="0.55000000000000004">
      <c r="A135" s="68">
        <f t="shared" si="2"/>
        <v>133</v>
      </c>
      <c r="B135" s="12" t="str">
        <f>IF(ISERROR(VLOOKUP(C135,'ジョブ一覧(概要)'!$C$3:$I$23,6,FALSE)),"",VLOOKUP(C135,'ジョブ一覧(概要)'!$C$3:$I$23,6,FALSE))</f>
        <v>JP1⑤</v>
      </c>
      <c r="C135" s="12" t="s">
        <v>282</v>
      </c>
      <c r="D135" s="12" t="s">
        <v>289</v>
      </c>
      <c r="E135" s="12" t="s">
        <v>290</v>
      </c>
      <c r="F135" s="12" t="s">
        <v>10</v>
      </c>
      <c r="G135" s="90"/>
      <c r="H135" s="90"/>
      <c r="I135" s="50"/>
      <c r="J135" s="58"/>
    </row>
    <row r="136" spans="1:10" x14ac:dyDescent="0.55000000000000004">
      <c r="A136" s="68">
        <f t="shared" si="2"/>
        <v>134</v>
      </c>
      <c r="B136" s="12" t="str">
        <f>IF(ISERROR(VLOOKUP(C136,'ジョブ一覧(概要)'!$C$3:$I$23,6,FALSE)),"",VLOOKUP(C136,'ジョブ一覧(概要)'!$C$3:$I$23,6,FALSE))</f>
        <v>JP1⑤</v>
      </c>
      <c r="C136" s="12" t="s">
        <v>282</v>
      </c>
      <c r="D136" s="12" t="s">
        <v>291</v>
      </c>
      <c r="E136" s="12" t="s">
        <v>292</v>
      </c>
      <c r="F136" s="12" t="s">
        <v>10</v>
      </c>
      <c r="G136" s="90"/>
      <c r="H136" s="90"/>
      <c r="I136" s="50"/>
      <c r="J136" s="58"/>
    </row>
    <row r="137" spans="1:10" x14ac:dyDescent="0.55000000000000004">
      <c r="A137" s="68">
        <f t="shared" si="2"/>
        <v>135</v>
      </c>
      <c r="B137" s="12" t="str">
        <f>IF(ISERROR(VLOOKUP(C137,'ジョブ一覧(概要)'!$C$3:$I$23,6,FALSE)),"",VLOOKUP(C137,'ジョブ一覧(概要)'!$C$3:$I$23,6,FALSE))</f>
        <v>JP1⑤</v>
      </c>
      <c r="C137" s="12" t="s">
        <v>282</v>
      </c>
      <c r="D137" s="12" t="s">
        <v>293</v>
      </c>
      <c r="E137" s="12" t="s">
        <v>294</v>
      </c>
      <c r="F137" s="12" t="s">
        <v>10</v>
      </c>
      <c r="G137" s="90"/>
      <c r="H137" s="90"/>
      <c r="I137" s="50"/>
      <c r="J137" s="58"/>
    </row>
    <row r="138" spans="1:10" ht="15" thickBot="1" x14ac:dyDescent="0.6">
      <c r="A138" s="69">
        <f t="shared" si="2"/>
        <v>136</v>
      </c>
      <c r="B138" s="70" t="str">
        <f>IF(ISERROR(VLOOKUP(C138,'ジョブ一覧(概要)'!$C$3:$I$23,6,FALSE)),"",VLOOKUP(C138,'ジョブ一覧(概要)'!$C$3:$I$23,6,FALSE))</f>
        <v>JP1⑤</v>
      </c>
      <c r="C138" s="70" t="s">
        <v>282</v>
      </c>
      <c r="D138" s="70" t="s">
        <v>295</v>
      </c>
      <c r="E138" s="70" t="s">
        <v>296</v>
      </c>
      <c r="F138" s="70" t="s">
        <v>10</v>
      </c>
      <c r="G138" s="91"/>
      <c r="H138" s="91"/>
      <c r="I138" s="71"/>
      <c r="J138" s="62"/>
    </row>
    <row r="139" spans="1:10" x14ac:dyDescent="0.55000000000000004">
      <c r="A139" s="72">
        <f t="shared" si="2"/>
        <v>137</v>
      </c>
      <c r="B139" s="65" t="str">
        <f>IF(ISERROR(VLOOKUP(C139,'ジョブ一覧(概要)'!$C$3:$I$23,6,FALSE)),"",VLOOKUP(C139,'ジョブ一覧(概要)'!$C$3:$I$23,6,FALSE))</f>
        <v>JP1③</v>
      </c>
      <c r="C139" s="65" t="s">
        <v>297</v>
      </c>
      <c r="D139" s="65" t="s">
        <v>298</v>
      </c>
      <c r="E139" s="65" t="s">
        <v>299</v>
      </c>
      <c r="F139" s="65" t="s">
        <v>10</v>
      </c>
      <c r="G139" s="89"/>
      <c r="H139" s="89"/>
      <c r="I139" s="66"/>
      <c r="J139" s="56"/>
    </row>
    <row r="140" spans="1:10" x14ac:dyDescent="0.55000000000000004">
      <c r="A140" s="68">
        <f t="shared" si="2"/>
        <v>138</v>
      </c>
      <c r="B140" s="12" t="str">
        <f>IF(ISERROR(VLOOKUP(C140,'ジョブ一覧(概要)'!$C$3:$I$23,6,FALSE)),"",VLOOKUP(C140,'ジョブ一覧(概要)'!$C$3:$I$23,6,FALSE))</f>
        <v>JP1③</v>
      </c>
      <c r="C140" s="12" t="s">
        <v>297</v>
      </c>
      <c r="D140" s="12" t="s">
        <v>300</v>
      </c>
      <c r="E140" s="12" t="s">
        <v>301</v>
      </c>
      <c r="F140" s="12" t="s">
        <v>10</v>
      </c>
      <c r="G140" s="90"/>
      <c r="H140" s="90"/>
      <c r="I140" s="50"/>
      <c r="J140" s="58"/>
    </row>
    <row r="141" spans="1:10" x14ac:dyDescent="0.55000000000000004">
      <c r="A141" s="68">
        <f t="shared" si="2"/>
        <v>139</v>
      </c>
      <c r="B141" s="12" t="str">
        <f>IF(ISERROR(VLOOKUP(C141,'ジョブ一覧(概要)'!$C$3:$I$23,6,FALSE)),"",VLOOKUP(C141,'ジョブ一覧(概要)'!$C$3:$I$23,6,FALSE))</f>
        <v>JP1③</v>
      </c>
      <c r="C141" s="12" t="s">
        <v>297</v>
      </c>
      <c r="D141" s="12" t="s">
        <v>302</v>
      </c>
      <c r="E141" s="12" t="s">
        <v>303</v>
      </c>
      <c r="F141" s="12" t="s">
        <v>10</v>
      </c>
      <c r="G141" s="90"/>
      <c r="H141" s="90"/>
      <c r="I141" s="50"/>
      <c r="J141" s="58"/>
    </row>
    <row r="142" spans="1:10" x14ac:dyDescent="0.55000000000000004">
      <c r="A142" s="68">
        <f t="shared" si="2"/>
        <v>140</v>
      </c>
      <c r="B142" s="12" t="str">
        <f>IF(ISERROR(VLOOKUP(C142,'ジョブ一覧(概要)'!$C$3:$I$23,6,FALSE)),"",VLOOKUP(C142,'ジョブ一覧(概要)'!$C$3:$I$23,6,FALSE))</f>
        <v>JP1③</v>
      </c>
      <c r="C142" s="12" t="s">
        <v>297</v>
      </c>
      <c r="D142" s="12" t="s">
        <v>304</v>
      </c>
      <c r="E142" s="12" t="s">
        <v>305</v>
      </c>
      <c r="F142" s="12" t="s">
        <v>10</v>
      </c>
      <c r="G142" s="90"/>
      <c r="H142" s="90"/>
      <c r="I142" s="50"/>
      <c r="J142" s="58"/>
    </row>
    <row r="143" spans="1:10" x14ac:dyDescent="0.55000000000000004">
      <c r="A143" s="68">
        <f t="shared" si="2"/>
        <v>141</v>
      </c>
      <c r="B143" s="12" t="str">
        <f>IF(ISERROR(VLOOKUP(C143,'ジョブ一覧(概要)'!$C$3:$I$23,6,FALSE)),"",VLOOKUP(C143,'ジョブ一覧(概要)'!$C$3:$I$23,6,FALSE))</f>
        <v>JP1③</v>
      </c>
      <c r="C143" s="12" t="s">
        <v>297</v>
      </c>
      <c r="D143" s="12" t="s">
        <v>306</v>
      </c>
      <c r="E143" s="12" t="s">
        <v>307</v>
      </c>
      <c r="F143" s="12" t="s">
        <v>10</v>
      </c>
      <c r="G143" s="90"/>
      <c r="H143" s="90"/>
      <c r="I143" s="50"/>
      <c r="J143" s="58"/>
    </row>
    <row r="144" spans="1:10" x14ac:dyDescent="0.55000000000000004">
      <c r="A144" s="68">
        <f t="shared" si="2"/>
        <v>142</v>
      </c>
      <c r="B144" s="12" t="str">
        <f>IF(ISERROR(VLOOKUP(C144,'ジョブ一覧(概要)'!$C$3:$I$23,6,FALSE)),"",VLOOKUP(C144,'ジョブ一覧(概要)'!$C$3:$I$23,6,FALSE))</f>
        <v>JP1③</v>
      </c>
      <c r="C144" s="12" t="s">
        <v>297</v>
      </c>
      <c r="D144" s="12" t="s">
        <v>308</v>
      </c>
      <c r="E144" s="12" t="s">
        <v>307</v>
      </c>
      <c r="F144" s="12" t="s">
        <v>10</v>
      </c>
      <c r="G144" s="90"/>
      <c r="H144" s="90"/>
      <c r="I144" s="50"/>
      <c r="J144" s="58"/>
    </row>
    <row r="145" spans="1:10" x14ac:dyDescent="0.55000000000000004">
      <c r="A145" s="68">
        <f t="shared" si="2"/>
        <v>143</v>
      </c>
      <c r="B145" s="12" t="str">
        <f>IF(ISERROR(VLOOKUP(C145,'ジョブ一覧(概要)'!$C$3:$I$23,6,FALSE)),"",VLOOKUP(C145,'ジョブ一覧(概要)'!$C$3:$I$23,6,FALSE))</f>
        <v>JP1③</v>
      </c>
      <c r="C145" s="12" t="s">
        <v>297</v>
      </c>
      <c r="D145" s="12" t="s">
        <v>309</v>
      </c>
      <c r="E145" s="12" t="s">
        <v>310</v>
      </c>
      <c r="F145" s="12" t="s">
        <v>10</v>
      </c>
      <c r="G145" s="90"/>
      <c r="H145" s="90"/>
      <c r="I145" s="50"/>
      <c r="J145" s="58"/>
    </row>
    <row r="146" spans="1:10" ht="15" thickBot="1" x14ac:dyDescent="0.6">
      <c r="A146" s="69">
        <f t="shared" si="2"/>
        <v>144</v>
      </c>
      <c r="B146" s="70" t="str">
        <f>IF(ISERROR(VLOOKUP(C146,'ジョブ一覧(概要)'!$C$3:$I$23,6,FALSE)),"",VLOOKUP(C146,'ジョブ一覧(概要)'!$C$3:$I$23,6,FALSE))</f>
        <v>JP1③</v>
      </c>
      <c r="C146" s="70" t="s">
        <v>297</v>
      </c>
      <c r="D146" s="70" t="s">
        <v>311</v>
      </c>
      <c r="E146" s="70" t="s">
        <v>312</v>
      </c>
      <c r="F146" s="70" t="s">
        <v>10</v>
      </c>
      <c r="G146" s="91"/>
      <c r="H146" s="91"/>
      <c r="I146" s="71"/>
      <c r="J146" s="62"/>
    </row>
    <row r="147" spans="1:10" ht="15" thickBot="1" x14ac:dyDescent="0.6">
      <c r="A147" s="79">
        <f t="shared" si="2"/>
        <v>145</v>
      </c>
      <c r="B147" s="73" t="str">
        <f>IF(ISERROR(VLOOKUP(C147,'ジョブ一覧(概要)'!$C$3:$I$23,6,FALSE)),"",VLOOKUP(C147,'ジョブ一覧(概要)'!$C$3:$I$23,6,FALSE))</f>
        <v>JP1②</v>
      </c>
      <c r="C147" s="73" t="s">
        <v>313</v>
      </c>
      <c r="D147" s="73" t="s">
        <v>314</v>
      </c>
      <c r="E147" s="73" t="s">
        <v>315</v>
      </c>
      <c r="F147" s="73" t="s">
        <v>10</v>
      </c>
      <c r="G147" s="90"/>
      <c r="H147" s="90"/>
      <c r="I147" s="51"/>
      <c r="J147" s="58"/>
    </row>
    <row r="148" spans="1:10" ht="15" thickBot="1" x14ac:dyDescent="0.6">
      <c r="A148" s="74">
        <f t="shared" si="2"/>
        <v>146</v>
      </c>
      <c r="B148" s="75" t="str">
        <f>IF(ISERROR(VLOOKUP(C148,'ジョブ一覧(概要)'!$C$3:$I$23,6,FALSE)),"",VLOOKUP(C148,'ジョブ一覧(概要)'!$C$3:$I$23,6,FALSE))</f>
        <v>JP1②</v>
      </c>
      <c r="C148" s="75" t="s">
        <v>316</v>
      </c>
      <c r="D148" s="75" t="s">
        <v>317</v>
      </c>
      <c r="E148" s="75"/>
      <c r="F148" s="75" t="s">
        <v>10</v>
      </c>
      <c r="G148" s="92"/>
      <c r="H148" s="92"/>
      <c r="I148" s="76"/>
      <c r="J148" s="77"/>
    </row>
    <row r="149" spans="1:10" x14ac:dyDescent="0.55000000000000004">
      <c r="A149" s="80">
        <f t="shared" si="2"/>
        <v>147</v>
      </c>
      <c r="B149" s="44" t="str">
        <f>IF(ISERROR(VLOOKUP(C149,'ジョブ一覧(概要)'!$C$3:$I$23,6,FALSE)),"",VLOOKUP(C149,'ジョブ一覧(概要)'!$C$3:$I$23,6,FALSE))</f>
        <v>JP1②</v>
      </c>
      <c r="C149" s="44" t="s">
        <v>318</v>
      </c>
      <c r="D149" s="44" t="s">
        <v>319</v>
      </c>
      <c r="E149" s="44" t="s">
        <v>234</v>
      </c>
      <c r="F149" s="44" t="s">
        <v>10</v>
      </c>
      <c r="G149" s="90"/>
      <c r="H149" s="90"/>
      <c r="I149" s="51"/>
      <c r="J149" s="58"/>
    </row>
    <row r="150" spans="1:10" x14ac:dyDescent="0.55000000000000004">
      <c r="A150" s="57">
        <f t="shared" si="2"/>
        <v>148</v>
      </c>
      <c r="B150" s="13" t="str">
        <f>IF(ISERROR(VLOOKUP(C150,'ジョブ一覧(概要)'!$C$3:$I$23,6,FALSE)),"",VLOOKUP(C150,'ジョブ一覧(概要)'!$C$3:$I$23,6,FALSE))</f>
        <v>JP1②</v>
      </c>
      <c r="C150" s="13" t="s">
        <v>318</v>
      </c>
      <c r="D150" s="13" t="s">
        <v>320</v>
      </c>
      <c r="E150" s="13" t="s">
        <v>321</v>
      </c>
      <c r="F150" s="13" t="s">
        <v>10</v>
      </c>
      <c r="G150" s="90"/>
      <c r="H150" s="90"/>
      <c r="I150" s="51"/>
      <c r="J150" s="58"/>
    </row>
    <row r="151" spans="1:10" x14ac:dyDescent="0.55000000000000004">
      <c r="A151" s="57">
        <f t="shared" si="2"/>
        <v>149</v>
      </c>
      <c r="B151" s="13" t="str">
        <f>IF(ISERROR(VLOOKUP(C151,'ジョブ一覧(概要)'!$C$3:$I$23,6,FALSE)),"",VLOOKUP(C151,'ジョブ一覧(概要)'!$C$3:$I$23,6,FALSE))</f>
        <v>JP1②</v>
      </c>
      <c r="C151" s="13" t="s">
        <v>318</v>
      </c>
      <c r="D151" s="13" t="s">
        <v>322</v>
      </c>
      <c r="E151" s="13" t="s">
        <v>323</v>
      </c>
      <c r="F151" s="13" t="s">
        <v>10</v>
      </c>
      <c r="G151" s="90"/>
      <c r="H151" s="90"/>
      <c r="I151" s="51"/>
      <c r="J151" s="58"/>
    </row>
    <row r="152" spans="1:10" x14ac:dyDescent="0.55000000000000004">
      <c r="A152" s="57">
        <f t="shared" si="2"/>
        <v>150</v>
      </c>
      <c r="B152" s="13" t="str">
        <f>IF(ISERROR(VLOOKUP(C152,'ジョブ一覧(概要)'!$C$3:$I$23,6,FALSE)),"",VLOOKUP(C152,'ジョブ一覧(概要)'!$C$3:$I$23,6,FALSE))</f>
        <v>JP1②</v>
      </c>
      <c r="C152" s="13" t="s">
        <v>318</v>
      </c>
      <c r="D152" s="13" t="s">
        <v>324</v>
      </c>
      <c r="E152" s="13" t="s">
        <v>325</v>
      </c>
      <c r="F152" s="13" t="s">
        <v>10</v>
      </c>
      <c r="G152" s="90"/>
      <c r="H152" s="90"/>
      <c r="I152" s="51"/>
      <c r="J152" s="58"/>
    </row>
    <row r="153" spans="1:10" x14ac:dyDescent="0.55000000000000004">
      <c r="A153" s="57">
        <f t="shared" si="2"/>
        <v>151</v>
      </c>
      <c r="B153" s="13" t="str">
        <f>IF(ISERROR(VLOOKUP(C153,'ジョブ一覧(概要)'!$C$3:$I$23,6,FALSE)),"",VLOOKUP(C153,'ジョブ一覧(概要)'!$C$3:$I$23,6,FALSE))</f>
        <v>JP1②</v>
      </c>
      <c r="C153" s="13" t="s">
        <v>318</v>
      </c>
      <c r="D153" s="13" t="s">
        <v>326</v>
      </c>
      <c r="E153" s="13" t="s">
        <v>327</v>
      </c>
      <c r="F153" s="13" t="s">
        <v>10</v>
      </c>
      <c r="G153" s="90"/>
      <c r="H153" s="90"/>
      <c r="I153" s="51"/>
      <c r="J153" s="58"/>
    </row>
    <row r="154" spans="1:10" ht="15" thickBot="1" x14ac:dyDescent="0.6">
      <c r="A154" s="81">
        <f t="shared" si="2"/>
        <v>152</v>
      </c>
      <c r="B154" s="78" t="str">
        <f>IF(ISERROR(VLOOKUP(C154,'ジョブ一覧(概要)'!$C$3:$I$23,6,FALSE)),"",VLOOKUP(C154,'ジョブ一覧(概要)'!$C$3:$I$23,6,FALSE))</f>
        <v>JP1②</v>
      </c>
      <c r="C154" s="78" t="s">
        <v>318</v>
      </c>
      <c r="D154" s="78" t="s">
        <v>328</v>
      </c>
      <c r="E154" s="78" t="s">
        <v>329</v>
      </c>
      <c r="F154" s="78" t="s">
        <v>10</v>
      </c>
      <c r="G154" s="90"/>
      <c r="H154" s="90"/>
      <c r="I154" s="51"/>
      <c r="J154" s="58"/>
    </row>
    <row r="155" spans="1:10" x14ac:dyDescent="0.55000000000000004">
      <c r="A155" s="53">
        <f t="shared" si="2"/>
        <v>153</v>
      </c>
      <c r="B155" s="54" t="str">
        <f>IF(ISERROR(VLOOKUP(C155,'ジョブ一覧(概要)'!$C$3:$I$23,6,FALSE)),"",VLOOKUP(C155,'ジョブ一覧(概要)'!$C$3:$I$23,6,FALSE))</f>
        <v>JP1③</v>
      </c>
      <c r="C155" s="54" t="s">
        <v>330</v>
      </c>
      <c r="D155" s="54" t="s">
        <v>331</v>
      </c>
      <c r="E155" s="54" t="s">
        <v>332</v>
      </c>
      <c r="F155" s="54" t="s">
        <v>10</v>
      </c>
      <c r="G155" s="89"/>
      <c r="H155" s="89"/>
      <c r="I155" s="55"/>
      <c r="J155" s="56"/>
    </row>
    <row r="156" spans="1:10" x14ac:dyDescent="0.55000000000000004">
      <c r="A156" s="57">
        <f t="shared" si="2"/>
        <v>154</v>
      </c>
      <c r="B156" s="13" t="str">
        <f>IF(ISERROR(VLOOKUP(C156,'ジョブ一覧(概要)'!$C$3:$I$23,6,FALSE)),"",VLOOKUP(C156,'ジョブ一覧(概要)'!$C$3:$I$23,6,FALSE))</f>
        <v>JP1③</v>
      </c>
      <c r="C156" s="13" t="s">
        <v>330</v>
      </c>
      <c r="D156" s="13" t="s">
        <v>333</v>
      </c>
      <c r="E156" s="13" t="s">
        <v>334</v>
      </c>
      <c r="F156" s="13" t="s">
        <v>10</v>
      </c>
      <c r="G156" s="90"/>
      <c r="H156" s="90"/>
      <c r="I156" s="51"/>
      <c r="J156" s="58"/>
    </row>
    <row r="157" spans="1:10" x14ac:dyDescent="0.55000000000000004">
      <c r="A157" s="57">
        <f t="shared" si="2"/>
        <v>155</v>
      </c>
      <c r="B157" s="13" t="str">
        <f>IF(ISERROR(VLOOKUP(C157,'ジョブ一覧(概要)'!$C$3:$I$23,6,FALSE)),"",VLOOKUP(C157,'ジョブ一覧(概要)'!$C$3:$I$23,6,FALSE))</f>
        <v>JP1③</v>
      </c>
      <c r="C157" s="13" t="s">
        <v>330</v>
      </c>
      <c r="D157" s="13" t="s">
        <v>335</v>
      </c>
      <c r="E157" s="13" t="s">
        <v>336</v>
      </c>
      <c r="F157" s="13" t="s">
        <v>10</v>
      </c>
      <c r="G157" s="90"/>
      <c r="H157" s="90"/>
      <c r="I157" s="51"/>
      <c r="J157" s="58"/>
    </row>
    <row r="158" spans="1:10" x14ac:dyDescent="0.55000000000000004">
      <c r="A158" s="57">
        <f t="shared" si="2"/>
        <v>156</v>
      </c>
      <c r="B158" s="13" t="str">
        <f>IF(ISERROR(VLOOKUP(C158,'ジョブ一覧(概要)'!$C$3:$I$23,6,FALSE)),"",VLOOKUP(C158,'ジョブ一覧(概要)'!$C$3:$I$23,6,FALSE))</f>
        <v>JP1③</v>
      </c>
      <c r="C158" s="13" t="s">
        <v>330</v>
      </c>
      <c r="D158" s="13" t="s">
        <v>337</v>
      </c>
      <c r="E158" s="13" t="s">
        <v>338</v>
      </c>
      <c r="F158" s="13" t="s">
        <v>10</v>
      </c>
      <c r="G158" s="90"/>
      <c r="H158" s="90"/>
      <c r="I158" s="51"/>
      <c r="J158" s="58"/>
    </row>
    <row r="159" spans="1:10" x14ac:dyDescent="0.55000000000000004">
      <c r="A159" s="57">
        <f t="shared" si="2"/>
        <v>157</v>
      </c>
      <c r="B159" s="13" t="str">
        <f>IF(ISERROR(VLOOKUP(C159,'ジョブ一覧(概要)'!$C$3:$I$23,6,FALSE)),"",VLOOKUP(C159,'ジョブ一覧(概要)'!$C$3:$I$23,6,FALSE))</f>
        <v>JP1③</v>
      </c>
      <c r="C159" s="13" t="s">
        <v>330</v>
      </c>
      <c r="D159" s="13" t="s">
        <v>339</v>
      </c>
      <c r="E159" s="13" t="s">
        <v>340</v>
      </c>
      <c r="F159" s="13" t="s">
        <v>10</v>
      </c>
      <c r="G159" s="90"/>
      <c r="H159" s="90"/>
      <c r="I159" s="51"/>
      <c r="J159" s="58"/>
    </row>
    <row r="160" spans="1:10" x14ac:dyDescent="0.55000000000000004">
      <c r="A160" s="57">
        <f t="shared" si="2"/>
        <v>158</v>
      </c>
      <c r="B160" s="13" t="str">
        <f>IF(ISERROR(VLOOKUP(C160,'ジョブ一覧(概要)'!$C$3:$I$23,6,FALSE)),"",VLOOKUP(C160,'ジョブ一覧(概要)'!$C$3:$I$23,6,FALSE))</f>
        <v>JP1③</v>
      </c>
      <c r="C160" s="13" t="s">
        <v>330</v>
      </c>
      <c r="D160" s="13" t="s">
        <v>341</v>
      </c>
      <c r="E160" s="13" t="s">
        <v>342</v>
      </c>
      <c r="F160" s="13" t="s">
        <v>10</v>
      </c>
      <c r="G160" s="90"/>
      <c r="H160" s="90"/>
      <c r="I160" s="51"/>
      <c r="J160" s="58"/>
    </row>
    <row r="161" spans="1:10" x14ac:dyDescent="0.55000000000000004">
      <c r="A161" s="57">
        <f t="shared" si="2"/>
        <v>159</v>
      </c>
      <c r="B161" s="13" t="str">
        <f>IF(ISERROR(VLOOKUP(C161,'ジョブ一覧(概要)'!$C$3:$I$23,6,FALSE)),"",VLOOKUP(C161,'ジョブ一覧(概要)'!$C$3:$I$23,6,FALSE))</f>
        <v>JP1③</v>
      </c>
      <c r="C161" s="13" t="s">
        <v>330</v>
      </c>
      <c r="D161" s="13" t="s">
        <v>343</v>
      </c>
      <c r="E161" s="13" t="s">
        <v>344</v>
      </c>
      <c r="F161" s="13" t="s">
        <v>10</v>
      </c>
      <c r="G161" s="90"/>
      <c r="H161" s="90"/>
      <c r="I161" s="51"/>
      <c r="J161" s="58"/>
    </row>
    <row r="162" spans="1:10" x14ac:dyDescent="0.55000000000000004">
      <c r="A162" s="57">
        <f t="shared" si="2"/>
        <v>160</v>
      </c>
      <c r="B162" s="13" t="str">
        <f>IF(ISERROR(VLOOKUP(C162,'ジョブ一覧(概要)'!$C$3:$I$23,6,FALSE)),"",VLOOKUP(C162,'ジョブ一覧(概要)'!$C$3:$I$23,6,FALSE))</f>
        <v>JP1③</v>
      </c>
      <c r="C162" s="13" t="s">
        <v>330</v>
      </c>
      <c r="D162" s="13" t="s">
        <v>345</v>
      </c>
      <c r="E162" s="13" t="s">
        <v>346</v>
      </c>
      <c r="F162" s="13" t="s">
        <v>10</v>
      </c>
      <c r="G162" s="90"/>
      <c r="H162" s="90"/>
      <c r="I162" s="51"/>
      <c r="J162" s="58"/>
    </row>
    <row r="163" spans="1:10" x14ac:dyDescent="0.55000000000000004">
      <c r="A163" s="57">
        <f t="shared" si="2"/>
        <v>161</v>
      </c>
      <c r="B163" s="13" t="str">
        <f>IF(ISERROR(VLOOKUP(C163,'ジョブ一覧(概要)'!$C$3:$I$23,6,FALSE)),"",VLOOKUP(C163,'ジョブ一覧(概要)'!$C$3:$I$23,6,FALSE))</f>
        <v>JP1③</v>
      </c>
      <c r="C163" s="13" t="s">
        <v>330</v>
      </c>
      <c r="D163" s="13" t="s">
        <v>347</v>
      </c>
      <c r="E163" s="13" t="s">
        <v>348</v>
      </c>
      <c r="F163" s="13" t="s">
        <v>10</v>
      </c>
      <c r="G163" s="90"/>
      <c r="H163" s="90"/>
      <c r="I163" s="51"/>
      <c r="J163" s="58"/>
    </row>
    <row r="164" spans="1:10" ht="15" thickBot="1" x14ac:dyDescent="0.6">
      <c r="A164" s="59">
        <f t="shared" si="2"/>
        <v>162</v>
      </c>
      <c r="B164" s="60" t="str">
        <f>IF(ISERROR(VLOOKUP(C164,'ジョブ一覧(概要)'!$C$3:$I$23,6,FALSE)),"",VLOOKUP(C164,'ジョブ一覧(概要)'!$C$3:$I$23,6,FALSE))</f>
        <v>JP1③</v>
      </c>
      <c r="C164" s="60" t="s">
        <v>330</v>
      </c>
      <c r="D164" s="60" t="s">
        <v>349</v>
      </c>
      <c r="E164" s="60" t="s">
        <v>350</v>
      </c>
      <c r="F164" s="60" t="s">
        <v>10</v>
      </c>
      <c r="G164" s="91"/>
      <c r="H164" s="91"/>
      <c r="I164" s="61"/>
      <c r="J164" s="62"/>
    </row>
    <row r="165" spans="1:10" x14ac:dyDescent="0.55000000000000004">
      <c r="A165" s="53">
        <f t="shared" si="2"/>
        <v>163</v>
      </c>
      <c r="B165" s="54" t="str">
        <f>IF(ISERROR(VLOOKUP(C165,'ジョブ一覧(概要)'!$C$3:$I$23,6,FALSE)),"",VLOOKUP(C165,'ジョブ一覧(概要)'!$C$3:$I$23,6,FALSE))</f>
        <v>JP1④</v>
      </c>
      <c r="C165" s="54" t="s">
        <v>357</v>
      </c>
      <c r="D165" s="54" t="s">
        <v>358</v>
      </c>
      <c r="E165" s="54" t="s">
        <v>359</v>
      </c>
      <c r="F165" s="54" t="s">
        <v>10</v>
      </c>
      <c r="G165" s="89"/>
      <c r="H165" s="89"/>
      <c r="I165" s="55"/>
      <c r="J165" s="56"/>
    </row>
    <row r="166" spans="1:10" x14ac:dyDescent="0.55000000000000004">
      <c r="A166" s="57">
        <f t="shared" si="2"/>
        <v>164</v>
      </c>
      <c r="B166" s="13" t="str">
        <f>IF(ISERROR(VLOOKUP(C166,'ジョブ一覧(概要)'!$C$3:$I$23,6,FALSE)),"",VLOOKUP(C166,'ジョブ一覧(概要)'!$C$3:$I$23,6,FALSE))</f>
        <v>JP1④</v>
      </c>
      <c r="C166" s="13" t="s">
        <v>357</v>
      </c>
      <c r="D166" s="13" t="s">
        <v>360</v>
      </c>
      <c r="E166" s="13" t="s">
        <v>361</v>
      </c>
      <c r="F166" s="13" t="s">
        <v>10</v>
      </c>
      <c r="G166" s="90"/>
      <c r="H166" s="90"/>
      <c r="I166" s="51"/>
      <c r="J166" s="58"/>
    </row>
    <row r="167" spans="1:10" x14ac:dyDescent="0.55000000000000004">
      <c r="A167" s="57">
        <f t="shared" si="2"/>
        <v>165</v>
      </c>
      <c r="B167" s="13" t="str">
        <f>IF(ISERROR(VLOOKUP(C167,'ジョブ一覧(概要)'!$C$3:$I$23,6,FALSE)),"",VLOOKUP(C167,'ジョブ一覧(概要)'!$C$3:$I$23,6,FALSE))</f>
        <v>JP1④</v>
      </c>
      <c r="C167" s="13" t="s">
        <v>357</v>
      </c>
      <c r="D167" s="13" t="s">
        <v>362</v>
      </c>
      <c r="E167" s="13" t="s">
        <v>363</v>
      </c>
      <c r="F167" s="13" t="s">
        <v>10</v>
      </c>
      <c r="G167" s="90"/>
      <c r="H167" s="90"/>
      <c r="I167" s="51"/>
      <c r="J167" s="58"/>
    </row>
    <row r="168" spans="1:10" x14ac:dyDescent="0.55000000000000004">
      <c r="A168" s="57">
        <f t="shared" si="2"/>
        <v>166</v>
      </c>
      <c r="B168" s="13" t="str">
        <f>IF(ISERROR(VLOOKUP(C168,'ジョブ一覧(概要)'!$C$3:$I$23,6,FALSE)),"",VLOOKUP(C168,'ジョブ一覧(概要)'!$C$3:$I$23,6,FALSE))</f>
        <v>JP1④</v>
      </c>
      <c r="C168" s="13" t="s">
        <v>357</v>
      </c>
      <c r="D168" s="13" t="s">
        <v>364</v>
      </c>
      <c r="E168" s="13" t="s">
        <v>365</v>
      </c>
      <c r="F168" s="13" t="s">
        <v>10</v>
      </c>
      <c r="G168" s="90"/>
      <c r="H168" s="90"/>
      <c r="I168" s="51"/>
      <c r="J168" s="58"/>
    </row>
    <row r="169" spans="1:10" x14ac:dyDescent="0.55000000000000004">
      <c r="A169" s="57">
        <f t="shared" si="2"/>
        <v>167</v>
      </c>
      <c r="B169" s="13" t="str">
        <f>IF(ISERROR(VLOOKUP(C169,'ジョブ一覧(概要)'!$C$3:$I$23,6,FALSE)),"",VLOOKUP(C169,'ジョブ一覧(概要)'!$C$3:$I$23,6,FALSE))</f>
        <v>JP1④</v>
      </c>
      <c r="C169" s="13" t="s">
        <v>357</v>
      </c>
      <c r="D169" s="13" t="s">
        <v>366</v>
      </c>
      <c r="E169" s="13" t="s">
        <v>367</v>
      </c>
      <c r="F169" s="13" t="s">
        <v>10</v>
      </c>
      <c r="G169" s="90"/>
      <c r="H169" s="90"/>
      <c r="I169" s="51"/>
      <c r="J169" s="58"/>
    </row>
    <row r="170" spans="1:10" x14ac:dyDescent="0.55000000000000004">
      <c r="A170" s="57">
        <f t="shared" si="2"/>
        <v>168</v>
      </c>
      <c r="B170" s="13" t="str">
        <f>IF(ISERROR(VLOOKUP(C170,'ジョブ一覧(概要)'!$C$3:$I$23,6,FALSE)),"",VLOOKUP(C170,'ジョブ一覧(概要)'!$C$3:$I$23,6,FALSE))</f>
        <v>JP1④</v>
      </c>
      <c r="C170" s="13" t="s">
        <v>357</v>
      </c>
      <c r="D170" s="13" t="s">
        <v>368</v>
      </c>
      <c r="E170" s="13" t="s">
        <v>369</v>
      </c>
      <c r="F170" s="13" t="s">
        <v>10</v>
      </c>
      <c r="G170" s="90"/>
      <c r="H170" s="90"/>
      <c r="I170" s="51"/>
      <c r="J170" s="58"/>
    </row>
    <row r="171" spans="1:10" x14ac:dyDescent="0.55000000000000004">
      <c r="A171" s="57">
        <f t="shared" si="2"/>
        <v>169</v>
      </c>
      <c r="B171" s="13" t="str">
        <f>IF(ISERROR(VLOOKUP(C171,'ジョブ一覧(概要)'!$C$3:$I$23,6,FALSE)),"",VLOOKUP(C171,'ジョブ一覧(概要)'!$C$3:$I$23,6,FALSE))</f>
        <v>JP1④</v>
      </c>
      <c r="C171" s="13" t="s">
        <v>357</v>
      </c>
      <c r="D171" s="13" t="s">
        <v>370</v>
      </c>
      <c r="E171" s="13" t="s">
        <v>371</v>
      </c>
      <c r="F171" s="13" t="s">
        <v>10</v>
      </c>
      <c r="G171" s="90"/>
      <c r="H171" s="90"/>
      <c r="I171" s="51"/>
      <c r="J171" s="58"/>
    </row>
    <row r="172" spans="1:10" x14ac:dyDescent="0.55000000000000004">
      <c r="A172" s="57">
        <f t="shared" si="2"/>
        <v>170</v>
      </c>
      <c r="B172" s="13" t="str">
        <f>IF(ISERROR(VLOOKUP(C172,'ジョブ一覧(概要)'!$C$3:$I$23,6,FALSE)),"",VLOOKUP(C172,'ジョブ一覧(概要)'!$C$3:$I$23,6,FALSE))</f>
        <v>JP1④</v>
      </c>
      <c r="C172" s="13" t="s">
        <v>357</v>
      </c>
      <c r="D172" s="13" t="s">
        <v>372</v>
      </c>
      <c r="E172" s="13" t="s">
        <v>373</v>
      </c>
      <c r="F172" s="13" t="s">
        <v>10</v>
      </c>
      <c r="G172" s="90"/>
      <c r="H172" s="90"/>
      <c r="I172" s="51"/>
      <c r="J172" s="58"/>
    </row>
    <row r="173" spans="1:10" x14ac:dyDescent="0.55000000000000004">
      <c r="A173" s="57">
        <f t="shared" si="2"/>
        <v>171</v>
      </c>
      <c r="B173" s="13" t="str">
        <f>IF(ISERROR(VLOOKUP(C173,'ジョブ一覧(概要)'!$C$3:$I$23,6,FALSE)),"",VLOOKUP(C173,'ジョブ一覧(概要)'!$C$3:$I$23,6,FALSE))</f>
        <v>JP1④</v>
      </c>
      <c r="C173" s="13" t="s">
        <v>357</v>
      </c>
      <c r="D173" s="13" t="s">
        <v>374</v>
      </c>
      <c r="E173" s="13" t="s">
        <v>375</v>
      </c>
      <c r="F173" s="13" t="s">
        <v>10</v>
      </c>
      <c r="G173" s="90"/>
      <c r="H173" s="90"/>
      <c r="I173" s="51"/>
      <c r="J173" s="58"/>
    </row>
    <row r="174" spans="1:10" ht="15" thickBot="1" x14ac:dyDescent="0.6">
      <c r="A174" s="59">
        <f t="shared" si="2"/>
        <v>172</v>
      </c>
      <c r="B174" s="60" t="str">
        <f>IF(ISERROR(VLOOKUP(C174,'ジョブ一覧(概要)'!$C$3:$I$23,6,FALSE)),"",VLOOKUP(C174,'ジョブ一覧(概要)'!$C$3:$I$23,6,FALSE))</f>
        <v>JP1④</v>
      </c>
      <c r="C174" s="60" t="s">
        <v>357</v>
      </c>
      <c r="D174" s="60" t="s">
        <v>376</v>
      </c>
      <c r="E174" s="60" t="s">
        <v>377</v>
      </c>
      <c r="F174" s="60" t="s">
        <v>10</v>
      </c>
      <c r="G174" s="91"/>
      <c r="H174" s="91"/>
      <c r="I174" s="61"/>
      <c r="J174" s="62"/>
    </row>
    <row r="178" spans="3:10" x14ac:dyDescent="0.55000000000000004">
      <c r="C178" s="1" t="s">
        <v>378</v>
      </c>
    </row>
    <row r="179" spans="3:10" x14ac:dyDescent="0.55000000000000004">
      <c r="C179" s="1" t="s">
        <v>379</v>
      </c>
    </row>
    <row r="180" spans="3:10" x14ac:dyDescent="0.55000000000000004">
      <c r="C180" s="1" t="s">
        <v>380</v>
      </c>
    </row>
    <row r="181" spans="3:10" x14ac:dyDescent="0.55000000000000004">
      <c r="C181" s="1" t="s">
        <v>381</v>
      </c>
    </row>
    <row r="182" spans="3:10" x14ac:dyDescent="0.55000000000000004">
      <c r="C182" s="1" t="s">
        <v>382</v>
      </c>
    </row>
    <row r="184" spans="3:10" ht="58" x14ac:dyDescent="0.55000000000000004">
      <c r="C184" s="4" t="s">
        <v>351</v>
      </c>
      <c r="D184" s="5" t="s">
        <v>352</v>
      </c>
      <c r="E184" s="6" t="s">
        <v>353</v>
      </c>
      <c r="F184" s="7" t="s">
        <v>354</v>
      </c>
      <c r="G184" s="7"/>
      <c r="H184" s="7"/>
      <c r="I184" s="7" t="s">
        <v>355</v>
      </c>
      <c r="J184" s="8" t="s">
        <v>356</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5F11-F06C-44FC-A7E1-62430F6BE20D}">
  <sheetPr>
    <tabColor theme="1"/>
  </sheetPr>
  <dimension ref="B2:C49"/>
  <sheetViews>
    <sheetView showGridLines="0" zoomScale="115" zoomScaleNormal="115" workbookViewId="0"/>
  </sheetViews>
  <sheetFormatPr defaultColWidth="3.4140625" defaultRowHeight="18" x14ac:dyDescent="0.55000000000000004"/>
  <cols>
    <col min="2" max="3" width="33.25" style="14" customWidth="1"/>
  </cols>
  <sheetData>
    <row r="2" spans="2:3" x14ac:dyDescent="0.55000000000000004">
      <c r="B2" s="18" t="s">
        <v>777</v>
      </c>
      <c r="C2" s="18" t="s">
        <v>778</v>
      </c>
    </row>
    <row r="3" spans="2:3" x14ac:dyDescent="0.55000000000000004">
      <c r="B3" s="16" t="s">
        <v>764</v>
      </c>
      <c r="C3" s="16" t="s">
        <v>766</v>
      </c>
    </row>
    <row r="4" spans="2:3" x14ac:dyDescent="0.55000000000000004">
      <c r="B4" s="16" t="s">
        <v>764</v>
      </c>
      <c r="C4" s="16" t="s">
        <v>12</v>
      </c>
    </row>
    <row r="5" spans="2:3" x14ac:dyDescent="0.55000000000000004">
      <c r="B5" s="16" t="s">
        <v>764</v>
      </c>
      <c r="C5" s="16" t="s">
        <v>14</v>
      </c>
    </row>
    <row r="6" spans="2:3" x14ac:dyDescent="0.55000000000000004">
      <c r="B6" s="16" t="s">
        <v>764</v>
      </c>
      <c r="C6" s="16" t="s">
        <v>765</v>
      </c>
    </row>
    <row r="7" spans="2:3" x14ac:dyDescent="0.55000000000000004">
      <c r="B7" s="16" t="s">
        <v>767</v>
      </c>
      <c r="C7" s="16" t="s">
        <v>12</v>
      </c>
    </row>
    <row r="8" spans="2:3" x14ac:dyDescent="0.55000000000000004">
      <c r="B8" s="16" t="s">
        <v>768</v>
      </c>
      <c r="C8" s="16" t="s">
        <v>769</v>
      </c>
    </row>
    <row r="9" spans="2:3" x14ac:dyDescent="0.55000000000000004">
      <c r="B9" s="16" t="s">
        <v>770</v>
      </c>
      <c r="C9" s="16" t="s">
        <v>770</v>
      </c>
    </row>
    <row r="10" spans="2:3" x14ac:dyDescent="0.55000000000000004">
      <c r="B10" s="16" t="s">
        <v>766</v>
      </c>
      <c r="C10" s="16" t="s">
        <v>764</v>
      </c>
    </row>
    <row r="11" spans="2:3" x14ac:dyDescent="0.55000000000000004">
      <c r="B11" s="16" t="s">
        <v>766</v>
      </c>
      <c r="C11" s="16" t="s">
        <v>768</v>
      </c>
    </row>
    <row r="12" spans="2:3" x14ac:dyDescent="0.55000000000000004">
      <c r="B12" s="16" t="s">
        <v>766</v>
      </c>
      <c r="C12" s="16" t="s">
        <v>766</v>
      </c>
    </row>
    <row r="13" spans="2:3" x14ac:dyDescent="0.55000000000000004">
      <c r="B13" s="16" t="s">
        <v>766</v>
      </c>
      <c r="C13" s="16" t="s">
        <v>765</v>
      </c>
    </row>
    <row r="14" spans="2:3" x14ac:dyDescent="0.55000000000000004">
      <c r="B14" s="16" t="s">
        <v>771</v>
      </c>
      <c r="C14" s="16" t="s">
        <v>772</v>
      </c>
    </row>
    <row r="15" spans="2:3" x14ac:dyDescent="0.55000000000000004">
      <c r="B15" s="16" t="s">
        <v>771</v>
      </c>
      <c r="C15" s="16" t="s">
        <v>771</v>
      </c>
    </row>
    <row r="16" spans="2:3" x14ac:dyDescent="0.55000000000000004">
      <c r="B16" s="16" t="s">
        <v>773</v>
      </c>
      <c r="C16" s="16" t="s">
        <v>764</v>
      </c>
    </row>
    <row r="17" spans="2:3" x14ac:dyDescent="0.55000000000000004">
      <c r="B17" s="16" t="s">
        <v>773</v>
      </c>
      <c r="C17" s="16" t="s">
        <v>14</v>
      </c>
    </row>
    <row r="18" spans="2:3" x14ac:dyDescent="0.55000000000000004">
      <c r="B18" s="16" t="s">
        <v>774</v>
      </c>
      <c r="C18" s="16" t="s">
        <v>12</v>
      </c>
    </row>
    <row r="19" spans="2:3" x14ac:dyDescent="0.55000000000000004">
      <c r="B19" s="16" t="s">
        <v>8</v>
      </c>
      <c r="C19" s="16" t="s">
        <v>764</v>
      </c>
    </row>
    <row r="20" spans="2:3" x14ac:dyDescent="0.55000000000000004">
      <c r="B20" s="16" t="s">
        <v>8</v>
      </c>
      <c r="C20" s="16" t="s">
        <v>765</v>
      </c>
    </row>
    <row r="21" spans="2:3" x14ac:dyDescent="0.55000000000000004">
      <c r="B21" s="16" t="s">
        <v>12</v>
      </c>
      <c r="C21" s="16" t="s">
        <v>764</v>
      </c>
    </row>
    <row r="22" spans="2:3" x14ac:dyDescent="0.55000000000000004">
      <c r="B22" s="16" t="s">
        <v>12</v>
      </c>
      <c r="C22" s="16" t="s">
        <v>776</v>
      </c>
    </row>
    <row r="23" spans="2:3" x14ac:dyDescent="0.55000000000000004">
      <c r="B23" s="16" t="s">
        <v>12</v>
      </c>
      <c r="C23" s="16" t="s">
        <v>766</v>
      </c>
    </row>
    <row r="24" spans="2:3" x14ac:dyDescent="0.55000000000000004">
      <c r="B24" s="16" t="s">
        <v>12</v>
      </c>
      <c r="C24" s="16" t="s">
        <v>769</v>
      </c>
    </row>
    <row r="25" spans="2:3" x14ac:dyDescent="0.55000000000000004">
      <c r="B25" s="16" t="s">
        <v>12</v>
      </c>
      <c r="C25" s="16" t="s">
        <v>775</v>
      </c>
    </row>
    <row r="26" spans="2:3" x14ac:dyDescent="0.55000000000000004">
      <c r="B26" s="16" t="s">
        <v>12</v>
      </c>
      <c r="C26" s="16" t="s">
        <v>14</v>
      </c>
    </row>
    <row r="27" spans="2:3" x14ac:dyDescent="0.55000000000000004">
      <c r="B27" s="16" t="s">
        <v>12</v>
      </c>
      <c r="C27" s="16" t="s">
        <v>765</v>
      </c>
    </row>
    <row r="28" spans="2:3" x14ac:dyDescent="0.55000000000000004">
      <c r="B28" s="16" t="s">
        <v>16</v>
      </c>
      <c r="C28" s="16" t="s">
        <v>766</v>
      </c>
    </row>
    <row r="29" spans="2:3" x14ac:dyDescent="0.55000000000000004">
      <c r="B29"/>
      <c r="C29"/>
    </row>
    <row r="30" spans="2:3" x14ac:dyDescent="0.55000000000000004">
      <c r="B30"/>
      <c r="C30"/>
    </row>
    <row r="31" spans="2:3" x14ac:dyDescent="0.55000000000000004">
      <c r="B31"/>
      <c r="C31"/>
    </row>
    <row r="32" spans="2:3" x14ac:dyDescent="0.55000000000000004">
      <c r="B32"/>
      <c r="C32"/>
    </row>
    <row r="33" spans="2:3" x14ac:dyDescent="0.55000000000000004">
      <c r="B33"/>
      <c r="C33"/>
    </row>
    <row r="34" spans="2:3" x14ac:dyDescent="0.55000000000000004">
      <c r="B34"/>
      <c r="C34"/>
    </row>
    <row r="35" spans="2:3" x14ac:dyDescent="0.55000000000000004">
      <c r="B35"/>
      <c r="C35"/>
    </row>
    <row r="36" spans="2:3" x14ac:dyDescent="0.55000000000000004">
      <c r="B36"/>
      <c r="C36"/>
    </row>
    <row r="37" spans="2:3" x14ac:dyDescent="0.55000000000000004">
      <c r="B37"/>
      <c r="C37"/>
    </row>
    <row r="38" spans="2:3" x14ac:dyDescent="0.55000000000000004">
      <c r="B38"/>
      <c r="C38"/>
    </row>
    <row r="39" spans="2:3" x14ac:dyDescent="0.55000000000000004">
      <c r="B39"/>
      <c r="C39"/>
    </row>
    <row r="40" spans="2:3" x14ac:dyDescent="0.55000000000000004">
      <c r="B40"/>
      <c r="C40"/>
    </row>
    <row r="41" spans="2:3" x14ac:dyDescent="0.55000000000000004">
      <c r="B41"/>
      <c r="C41"/>
    </row>
    <row r="42" spans="2:3" x14ac:dyDescent="0.55000000000000004">
      <c r="B42"/>
      <c r="C42"/>
    </row>
    <row r="43" spans="2:3" x14ac:dyDescent="0.55000000000000004">
      <c r="B43"/>
      <c r="C43"/>
    </row>
    <row r="44" spans="2:3" x14ac:dyDescent="0.55000000000000004">
      <c r="B44"/>
      <c r="C44"/>
    </row>
    <row r="45" spans="2:3" x14ac:dyDescent="0.55000000000000004">
      <c r="B45"/>
      <c r="C45"/>
    </row>
    <row r="46" spans="2:3" x14ac:dyDescent="0.55000000000000004">
      <c r="B46"/>
      <c r="C46"/>
    </row>
    <row r="47" spans="2:3" x14ac:dyDescent="0.55000000000000004">
      <c r="B47"/>
      <c r="C47"/>
    </row>
    <row r="48" spans="2:3" x14ac:dyDescent="0.55000000000000004">
      <c r="B48"/>
      <c r="C48"/>
    </row>
    <row r="49" spans="2:3" x14ac:dyDescent="0.55000000000000004">
      <c r="B49"/>
      <c r="C49"/>
    </row>
  </sheetData>
  <sortState xmlns:xlrd2="http://schemas.microsoft.com/office/spreadsheetml/2017/richdata2" ref="B3:C48">
    <sortCondition ref="B3:B48"/>
    <sortCondition ref="C3:C48"/>
  </sortState>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21CE-987C-4E67-827A-7FF2E803B75D}">
  <sheetPr>
    <tabColor theme="1"/>
  </sheetPr>
  <dimension ref="A1:M75"/>
  <sheetViews>
    <sheetView showGridLines="0" zoomScaleNormal="100" workbookViewId="0">
      <pane xSplit="3" ySplit="2" topLeftCell="D39" activePane="bottomRight" state="frozen"/>
      <selection pane="topRight"/>
      <selection pane="bottomLeft"/>
      <selection pane="bottomRight"/>
    </sheetView>
  </sheetViews>
  <sheetFormatPr defaultColWidth="3.25" defaultRowHeight="15" x14ac:dyDescent="0.55000000000000004"/>
  <cols>
    <col min="1" max="1" width="16.83203125" style="14" bestFit="1" customWidth="1"/>
    <col min="2" max="2" width="3.25" style="14"/>
    <col min="3" max="3" width="35.33203125" style="14" bestFit="1" customWidth="1"/>
    <col min="4" max="4" width="71.33203125" style="14" bestFit="1" customWidth="1"/>
    <col min="5" max="5" width="75.58203125" style="14" bestFit="1" customWidth="1"/>
    <col min="6" max="6" width="17.75" style="14" bestFit="1" customWidth="1"/>
    <col min="7" max="7" width="16.83203125" style="14" bestFit="1" customWidth="1"/>
    <col min="8" max="8" width="3.25" style="14"/>
    <col min="9" max="11" width="18.25" style="14" customWidth="1"/>
    <col min="12" max="16384" width="3.25" style="14"/>
  </cols>
  <sheetData>
    <row r="1" spans="1:13" ht="17.5" x14ac:dyDescent="0.55000000000000004">
      <c r="B1" s="9" t="s">
        <v>383</v>
      </c>
      <c r="D1" s="15">
        <v>46199.794571759259</v>
      </c>
      <c r="E1" s="14" t="s">
        <v>384</v>
      </c>
      <c r="F1" s="14" t="s">
        <v>385</v>
      </c>
      <c r="I1" s="18" t="s">
        <v>3</v>
      </c>
      <c r="M1" s="14" t="s">
        <v>761</v>
      </c>
    </row>
    <row r="2" spans="1:13" x14ac:dyDescent="0.55000000000000004">
      <c r="A2" s="16" t="s">
        <v>692</v>
      </c>
      <c r="B2" s="17" t="s">
        <v>2</v>
      </c>
      <c r="C2" s="18" t="s">
        <v>4</v>
      </c>
      <c r="D2" s="18" t="s">
        <v>3</v>
      </c>
      <c r="E2" s="18" t="s">
        <v>5</v>
      </c>
      <c r="F2" s="18" t="s">
        <v>6</v>
      </c>
      <c r="G2" s="19" t="s">
        <v>692</v>
      </c>
      <c r="I2" s="18" t="s">
        <v>758</v>
      </c>
      <c r="J2" s="18" t="s">
        <v>759</v>
      </c>
      <c r="K2" s="18" t="s">
        <v>760</v>
      </c>
    </row>
    <row r="3" spans="1:13" x14ac:dyDescent="0.55000000000000004">
      <c r="A3" s="16" t="s">
        <v>523</v>
      </c>
      <c r="B3" s="16">
        <f>ROW()-2</f>
        <v>1</v>
      </c>
      <c r="C3" s="16" t="s">
        <v>386</v>
      </c>
      <c r="D3" s="16" t="s">
        <v>387</v>
      </c>
      <c r="E3" s="16" t="s">
        <v>388</v>
      </c>
      <c r="F3" s="16" t="s">
        <v>389</v>
      </c>
      <c r="G3" s="16" t="s">
        <v>523</v>
      </c>
      <c r="I3" s="16" t="str" cm="1">
        <f t="array" ref="I3">INDEX(_xlfn.TEXTSPLIT($D3,"/"),2)</f>
        <v>GFOOT</v>
      </c>
      <c r="J3" s="16" t="str" cm="1">
        <f t="array" ref="J3">INDEX(_xlfn.TEXTSPLIT($D3,"/"),3)</f>
        <v>10_日次</v>
      </c>
      <c r="K3" s="16" t="str" cm="1">
        <f t="array" ref="K3">INDEX(_xlfn.TEXTSPLIT($D3,"/"),4)</f>
        <v>01_HULFT</v>
      </c>
    </row>
    <row r="4" spans="1:13" x14ac:dyDescent="0.55000000000000004">
      <c r="A4" s="16" t="s">
        <v>669</v>
      </c>
      <c r="B4" s="16">
        <f t="shared" ref="B4:B67" si="0">ROW()-2</f>
        <v>2</v>
      </c>
      <c r="C4" s="16" t="s">
        <v>390</v>
      </c>
      <c r="D4" s="16" t="s">
        <v>387</v>
      </c>
      <c r="E4" s="16" t="s">
        <v>391</v>
      </c>
      <c r="F4" s="16" t="s">
        <v>389</v>
      </c>
      <c r="G4" s="16" t="s">
        <v>669</v>
      </c>
      <c r="I4" s="16" t="str" cm="1">
        <f t="array" ref="I4">INDEX(_xlfn.TEXTSPLIT($D4,"/"),2)</f>
        <v>GFOOT</v>
      </c>
      <c r="J4" s="16" t="str" cm="1">
        <f t="array" ref="J4">INDEX(_xlfn.TEXTSPLIT($D4,"/"),3)</f>
        <v>10_日次</v>
      </c>
      <c r="K4" s="16" t="str" cm="1">
        <f t="array" ref="K4">INDEX(_xlfn.TEXTSPLIT($D4,"/"),4)</f>
        <v>01_HULFT</v>
      </c>
    </row>
    <row r="5" spans="1:13" x14ac:dyDescent="0.55000000000000004">
      <c r="A5" s="16" t="s">
        <v>675</v>
      </c>
      <c r="B5" s="16">
        <f t="shared" si="0"/>
        <v>3</v>
      </c>
      <c r="C5" s="16" t="s">
        <v>392</v>
      </c>
      <c r="D5" s="16" t="s">
        <v>387</v>
      </c>
      <c r="E5" s="16" t="s">
        <v>393</v>
      </c>
      <c r="F5" s="16" t="s">
        <v>389</v>
      </c>
      <c r="G5" s="16" t="s">
        <v>675</v>
      </c>
      <c r="I5" s="16" t="str" cm="1">
        <f t="array" ref="I5">INDEX(_xlfn.TEXTSPLIT($D5,"/"),2)</f>
        <v>GFOOT</v>
      </c>
      <c r="J5" s="16" t="str" cm="1">
        <f t="array" ref="J5">INDEX(_xlfn.TEXTSPLIT($D5,"/"),3)</f>
        <v>10_日次</v>
      </c>
      <c r="K5" s="16" t="str" cm="1">
        <f t="array" ref="K5">INDEX(_xlfn.TEXTSPLIT($D5,"/"),4)</f>
        <v>01_HULFT</v>
      </c>
    </row>
    <row r="6" spans="1:13" x14ac:dyDescent="0.55000000000000004">
      <c r="A6" s="16" t="s">
        <v>523</v>
      </c>
      <c r="B6" s="16">
        <f t="shared" si="0"/>
        <v>4</v>
      </c>
      <c r="C6" s="16" t="s">
        <v>394</v>
      </c>
      <c r="D6" s="16" t="s">
        <v>395</v>
      </c>
      <c r="E6" s="16" t="s">
        <v>388</v>
      </c>
      <c r="F6" s="16" t="s">
        <v>389</v>
      </c>
      <c r="G6" s="16" t="s">
        <v>523</v>
      </c>
      <c r="I6" s="16" t="str" cm="1">
        <f t="array" ref="I6">INDEX(_xlfn.TEXTSPLIT($D6,"/"),2)</f>
        <v>GFOOT</v>
      </c>
      <c r="J6" s="16" t="str" cm="1">
        <f t="array" ref="J6">INDEX(_xlfn.TEXTSPLIT($D6,"/"),3)</f>
        <v>10_日次</v>
      </c>
      <c r="K6" s="16" t="str" cm="1">
        <f t="array" ref="K6">INDEX(_xlfn.TEXTSPLIT($D6,"/"),4)</f>
        <v>01_HULFT</v>
      </c>
    </row>
    <row r="7" spans="1:13" x14ac:dyDescent="0.55000000000000004">
      <c r="A7" s="16" t="s">
        <v>683</v>
      </c>
      <c r="B7" s="16">
        <f t="shared" si="0"/>
        <v>5</v>
      </c>
      <c r="C7" s="16" t="s">
        <v>396</v>
      </c>
      <c r="D7" s="16" t="s">
        <v>397</v>
      </c>
      <c r="E7" s="16" t="s">
        <v>398</v>
      </c>
      <c r="F7" s="16" t="s">
        <v>389</v>
      </c>
      <c r="G7" s="16" t="s">
        <v>683</v>
      </c>
      <c r="I7" s="16" t="str" cm="1">
        <f t="array" ref="I7">INDEX(_xlfn.TEXTSPLIT($D7,"/"),2)</f>
        <v>GFOOT</v>
      </c>
      <c r="J7" s="16" t="str" cm="1">
        <f t="array" ref="J7">INDEX(_xlfn.TEXTSPLIT($D7,"/"),3)</f>
        <v>10_日次</v>
      </c>
      <c r="K7" s="16" t="str" cm="1">
        <f t="array" ref="K7">INDEX(_xlfn.TEXTSPLIT($D7,"/"),4)</f>
        <v>01_HULFT</v>
      </c>
    </row>
    <row r="8" spans="1:13" x14ac:dyDescent="0.55000000000000004">
      <c r="A8" s="16" t="s">
        <v>684</v>
      </c>
      <c r="B8" s="16">
        <f t="shared" si="0"/>
        <v>6</v>
      </c>
      <c r="C8" s="16" t="s">
        <v>399</v>
      </c>
      <c r="D8" s="16" t="s">
        <v>397</v>
      </c>
      <c r="E8" s="16" t="s">
        <v>400</v>
      </c>
      <c r="F8" s="16" t="s">
        <v>389</v>
      </c>
      <c r="G8" s="16" t="s">
        <v>684</v>
      </c>
      <c r="I8" s="16" t="str" cm="1">
        <f t="array" ref="I8">INDEX(_xlfn.TEXTSPLIT($D8,"/"),2)</f>
        <v>GFOOT</v>
      </c>
      <c r="J8" s="16" t="str" cm="1">
        <f t="array" ref="J8">INDEX(_xlfn.TEXTSPLIT($D8,"/"),3)</f>
        <v>10_日次</v>
      </c>
      <c r="K8" s="16" t="str" cm="1">
        <f t="array" ref="K8">INDEX(_xlfn.TEXTSPLIT($D8,"/"),4)</f>
        <v>01_HULFT</v>
      </c>
    </row>
    <row r="9" spans="1:13" x14ac:dyDescent="0.55000000000000004">
      <c r="A9" s="16" t="s">
        <v>685</v>
      </c>
      <c r="B9" s="16">
        <f t="shared" si="0"/>
        <v>7</v>
      </c>
      <c r="C9" s="16" t="s">
        <v>401</v>
      </c>
      <c r="D9" s="16" t="s">
        <v>397</v>
      </c>
      <c r="E9" s="16" t="s">
        <v>402</v>
      </c>
      <c r="F9" s="16" t="s">
        <v>389</v>
      </c>
      <c r="G9" s="16" t="s">
        <v>685</v>
      </c>
      <c r="I9" s="16" t="str" cm="1">
        <f t="array" ref="I9">INDEX(_xlfn.TEXTSPLIT($D9,"/"),2)</f>
        <v>GFOOT</v>
      </c>
      <c r="J9" s="16" t="str" cm="1">
        <f t="array" ref="J9">INDEX(_xlfn.TEXTSPLIT($D9,"/"),3)</f>
        <v>10_日次</v>
      </c>
      <c r="K9" s="16" t="str" cm="1">
        <f t="array" ref="K9">INDEX(_xlfn.TEXTSPLIT($D9,"/"),4)</f>
        <v>01_HULFT</v>
      </c>
    </row>
    <row r="10" spans="1:13" x14ac:dyDescent="0.55000000000000004">
      <c r="A10" s="16" t="s">
        <v>686</v>
      </c>
      <c r="B10" s="16">
        <f t="shared" si="0"/>
        <v>8</v>
      </c>
      <c r="C10" s="16" t="s">
        <v>403</v>
      </c>
      <c r="D10" s="16" t="s">
        <v>404</v>
      </c>
      <c r="E10" s="16" t="s">
        <v>405</v>
      </c>
      <c r="F10" s="16" t="s">
        <v>389</v>
      </c>
      <c r="G10" s="16" t="s">
        <v>686</v>
      </c>
      <c r="I10" s="16" t="str" cm="1">
        <f t="array" ref="I10">INDEX(_xlfn.TEXTSPLIT($D10,"/"),2)</f>
        <v>GFOOT</v>
      </c>
      <c r="J10" s="16" t="str" cm="1">
        <f t="array" ref="J10">INDEX(_xlfn.TEXTSPLIT($D10,"/"),3)</f>
        <v>10_日次</v>
      </c>
      <c r="K10" s="16" t="str" cm="1">
        <f t="array" ref="K10">INDEX(_xlfn.TEXTSPLIT($D10,"/"),4)</f>
        <v>01_HULFT</v>
      </c>
    </row>
    <row r="11" spans="1:13" x14ac:dyDescent="0.55000000000000004">
      <c r="A11" s="16" t="s">
        <v>434</v>
      </c>
      <c r="B11" s="16">
        <f t="shared" si="0"/>
        <v>9</v>
      </c>
      <c r="C11" s="16" t="s">
        <v>406</v>
      </c>
      <c r="D11" s="16" t="s">
        <v>407</v>
      </c>
      <c r="E11" s="16" t="s">
        <v>408</v>
      </c>
      <c r="F11" s="16" t="s">
        <v>389</v>
      </c>
      <c r="G11" s="16" t="s">
        <v>434</v>
      </c>
      <c r="I11" s="16" t="str" cm="1">
        <f t="array" ref="I11">INDEX(_xlfn.TEXTSPLIT($D11,"/"),2)</f>
        <v>GFOOT</v>
      </c>
      <c r="J11" s="16" t="str" cm="1">
        <f t="array" ref="J11">INDEX(_xlfn.TEXTSPLIT($D11,"/"),3)</f>
        <v>10_日次</v>
      </c>
      <c r="K11" s="16" t="str" cm="1">
        <f t="array" ref="K11">INDEX(_xlfn.TEXTSPLIT($D11,"/"),4)</f>
        <v>01_HULFT</v>
      </c>
    </row>
    <row r="12" spans="1:13" x14ac:dyDescent="0.55000000000000004">
      <c r="A12" s="16" t="s">
        <v>434</v>
      </c>
      <c r="B12" s="16">
        <f t="shared" si="0"/>
        <v>10</v>
      </c>
      <c r="C12" s="16" t="s">
        <v>409</v>
      </c>
      <c r="D12" s="16" t="s">
        <v>410</v>
      </c>
      <c r="E12" s="16" t="s">
        <v>411</v>
      </c>
      <c r="F12" s="16" t="s">
        <v>389</v>
      </c>
      <c r="G12" s="16" t="s">
        <v>434</v>
      </c>
      <c r="I12" s="16" t="str" cm="1">
        <f t="array" ref="I12">INDEX(_xlfn.TEXTSPLIT($D12,"/"),2)</f>
        <v>GFOOT</v>
      </c>
      <c r="J12" s="16" t="str" cm="1">
        <f t="array" ref="J12">INDEX(_xlfn.TEXTSPLIT($D12,"/"),3)</f>
        <v>10_日次</v>
      </c>
      <c r="K12" s="16" t="str" cm="1">
        <f t="array" ref="K12">INDEX(_xlfn.TEXTSPLIT($D12,"/"),4)</f>
        <v>01_HULFT</v>
      </c>
    </row>
    <row r="13" spans="1:13" x14ac:dyDescent="0.55000000000000004">
      <c r="A13" s="16" t="s">
        <v>689</v>
      </c>
      <c r="B13" s="16">
        <f t="shared" si="0"/>
        <v>11</v>
      </c>
      <c r="C13" s="16" t="s">
        <v>412</v>
      </c>
      <c r="D13" s="16" t="s">
        <v>410</v>
      </c>
      <c r="E13" s="16" t="s">
        <v>413</v>
      </c>
      <c r="F13" s="16" t="s">
        <v>389</v>
      </c>
      <c r="G13" s="16" t="s">
        <v>689</v>
      </c>
      <c r="I13" s="16" t="str" cm="1">
        <f t="array" ref="I13">INDEX(_xlfn.TEXTSPLIT($D13,"/"),2)</f>
        <v>GFOOT</v>
      </c>
      <c r="J13" s="16" t="str" cm="1">
        <f t="array" ref="J13">INDEX(_xlfn.TEXTSPLIT($D13,"/"),3)</f>
        <v>10_日次</v>
      </c>
      <c r="K13" s="16" t="str" cm="1">
        <f t="array" ref="K13">INDEX(_xlfn.TEXTSPLIT($D13,"/"),4)</f>
        <v>01_HULFT</v>
      </c>
    </row>
    <row r="14" spans="1:13" x14ac:dyDescent="0.55000000000000004">
      <c r="A14" s="16" t="s">
        <v>668</v>
      </c>
      <c r="B14" s="16">
        <f t="shared" si="0"/>
        <v>12</v>
      </c>
      <c r="C14" s="16" t="s">
        <v>414</v>
      </c>
      <c r="D14" s="16" t="s">
        <v>415</v>
      </c>
      <c r="E14" s="16" t="s">
        <v>416</v>
      </c>
      <c r="F14" s="16" t="s">
        <v>389</v>
      </c>
      <c r="G14" s="16" t="s">
        <v>668</v>
      </c>
      <c r="I14" s="16" t="str" cm="1">
        <f t="array" ref="I14">INDEX(_xlfn.TEXTSPLIT($D14,"/"),2)</f>
        <v>GFOOT</v>
      </c>
      <c r="J14" s="16" t="str" cm="1">
        <f t="array" ref="J14">INDEX(_xlfn.TEXTSPLIT($D14,"/"),3)</f>
        <v>10_日次</v>
      </c>
      <c r="K14" s="16" t="str" cm="1">
        <f t="array" ref="K14">INDEX(_xlfn.TEXTSPLIT($D14,"/"),4)</f>
        <v>01_HULFT</v>
      </c>
    </row>
    <row r="15" spans="1:13" x14ac:dyDescent="0.55000000000000004">
      <c r="A15" s="16" t="s">
        <v>434</v>
      </c>
      <c r="B15" s="16">
        <f t="shared" si="0"/>
        <v>13</v>
      </c>
      <c r="C15" s="16" t="s">
        <v>417</v>
      </c>
      <c r="D15" s="16" t="s">
        <v>415</v>
      </c>
      <c r="E15" s="16" t="s">
        <v>418</v>
      </c>
      <c r="F15" s="16" t="s">
        <v>389</v>
      </c>
      <c r="G15" s="16" t="s">
        <v>434</v>
      </c>
      <c r="I15" s="16" t="str" cm="1">
        <f t="array" ref="I15">INDEX(_xlfn.TEXTSPLIT($D15,"/"),2)</f>
        <v>GFOOT</v>
      </c>
      <c r="J15" s="16" t="str" cm="1">
        <f t="array" ref="J15">INDEX(_xlfn.TEXTSPLIT($D15,"/"),3)</f>
        <v>10_日次</v>
      </c>
      <c r="K15" s="16" t="str" cm="1">
        <f t="array" ref="K15">INDEX(_xlfn.TEXTSPLIT($D15,"/"),4)</f>
        <v>01_HULFT</v>
      </c>
    </row>
    <row r="16" spans="1:13" x14ac:dyDescent="0.55000000000000004">
      <c r="A16" s="16" t="s">
        <v>671</v>
      </c>
      <c r="B16" s="16">
        <f t="shared" si="0"/>
        <v>14</v>
      </c>
      <c r="C16" s="16" t="s">
        <v>419</v>
      </c>
      <c r="D16" s="16" t="s">
        <v>420</v>
      </c>
      <c r="E16" s="16" t="s">
        <v>421</v>
      </c>
      <c r="F16" s="16" t="s">
        <v>389</v>
      </c>
      <c r="G16" s="16" t="s">
        <v>671</v>
      </c>
      <c r="I16" s="16" t="str" cm="1">
        <f t="array" ref="I16">INDEX(_xlfn.TEXTSPLIT($D16,"/"),2)</f>
        <v>GFOOT</v>
      </c>
      <c r="J16" s="16" t="str" cm="1">
        <f t="array" ref="J16">INDEX(_xlfn.TEXTSPLIT($D16,"/"),3)</f>
        <v>10_日次</v>
      </c>
      <c r="K16" s="16" t="str" cm="1">
        <f t="array" ref="K16">INDEX(_xlfn.TEXTSPLIT($D16,"/"),4)</f>
        <v>01_HULFT</v>
      </c>
    </row>
    <row r="17" spans="1:11" x14ac:dyDescent="0.55000000000000004">
      <c r="A17" s="16"/>
      <c r="B17" s="16">
        <f t="shared" si="0"/>
        <v>15</v>
      </c>
      <c r="C17" s="16" t="s">
        <v>422</v>
      </c>
      <c r="D17" s="16" t="s">
        <v>423</v>
      </c>
      <c r="E17" s="16"/>
      <c r="F17" s="16" t="s">
        <v>389</v>
      </c>
      <c r="G17" s="16"/>
      <c r="I17" s="16" t="str" cm="1">
        <f t="array" ref="I17">INDEX(_xlfn.TEXTSPLIT($D17,"/"),2)</f>
        <v>GFOOT</v>
      </c>
      <c r="J17" s="16" t="str" cm="1">
        <f t="array" ref="J17">INDEX(_xlfn.TEXTSPLIT($D17,"/"),3)</f>
        <v>10_日次</v>
      </c>
      <c r="K17" s="16" t="str" cm="1">
        <f t="array" ref="K17">INDEX(_xlfn.TEXTSPLIT($D17,"/"),4)</f>
        <v>01_LinkExpress</v>
      </c>
    </row>
    <row r="18" spans="1:11" x14ac:dyDescent="0.55000000000000004">
      <c r="A18" s="16" t="s">
        <v>675</v>
      </c>
      <c r="B18" s="16">
        <f t="shared" si="0"/>
        <v>16</v>
      </c>
      <c r="C18" s="16" t="s">
        <v>392</v>
      </c>
      <c r="D18" s="16" t="s">
        <v>423</v>
      </c>
      <c r="E18" s="16" t="s">
        <v>393</v>
      </c>
      <c r="F18" s="16" t="s">
        <v>389</v>
      </c>
      <c r="G18" s="16" t="s">
        <v>675</v>
      </c>
      <c r="I18" s="16" t="str" cm="1">
        <f t="array" ref="I18">INDEX(_xlfn.TEXTSPLIT($D18,"/"),2)</f>
        <v>GFOOT</v>
      </c>
      <c r="J18" s="16" t="str" cm="1">
        <f t="array" ref="J18">INDEX(_xlfn.TEXTSPLIT($D18,"/"),3)</f>
        <v>10_日次</v>
      </c>
      <c r="K18" s="16" t="str" cm="1">
        <f t="array" ref="K18">INDEX(_xlfn.TEXTSPLIT($D18,"/"),4)</f>
        <v>01_LinkExpress</v>
      </c>
    </row>
    <row r="19" spans="1:11" x14ac:dyDescent="0.55000000000000004">
      <c r="A19" s="16" t="s">
        <v>689</v>
      </c>
      <c r="B19" s="16">
        <f t="shared" si="0"/>
        <v>17</v>
      </c>
      <c r="C19" s="16" t="s">
        <v>424</v>
      </c>
      <c r="D19" s="16" t="s">
        <v>425</v>
      </c>
      <c r="E19" s="16" t="s">
        <v>426</v>
      </c>
      <c r="F19" s="16" t="s">
        <v>389</v>
      </c>
      <c r="G19" s="16" t="s">
        <v>689</v>
      </c>
      <c r="I19" s="16" t="str" cm="1">
        <f t="array" ref="I19">INDEX(_xlfn.TEXTSPLIT($D19,"/"),2)</f>
        <v>GFOOT</v>
      </c>
      <c r="J19" s="16" t="str" cm="1">
        <f t="array" ref="J19">INDEX(_xlfn.TEXTSPLIT($D19,"/"),3)</f>
        <v>10_日次</v>
      </c>
      <c r="K19" s="16" t="str" cm="1">
        <f t="array" ref="K19">INDEX(_xlfn.TEXTSPLIT($D19,"/"),4)</f>
        <v>02_VAN</v>
      </c>
    </row>
    <row r="20" spans="1:11" x14ac:dyDescent="0.55000000000000004">
      <c r="A20" s="16" t="s">
        <v>434</v>
      </c>
      <c r="B20" s="16">
        <f t="shared" si="0"/>
        <v>18</v>
      </c>
      <c r="C20" s="16" t="s">
        <v>427</v>
      </c>
      <c r="D20" s="16" t="s">
        <v>425</v>
      </c>
      <c r="E20" s="16" t="s">
        <v>428</v>
      </c>
      <c r="F20" s="16" t="s">
        <v>389</v>
      </c>
      <c r="G20" s="16" t="s">
        <v>434</v>
      </c>
      <c r="I20" s="16" t="str" cm="1">
        <f t="array" ref="I20">INDEX(_xlfn.TEXTSPLIT($D20,"/"),2)</f>
        <v>GFOOT</v>
      </c>
      <c r="J20" s="16" t="str" cm="1">
        <f t="array" ref="J20">INDEX(_xlfn.TEXTSPLIT($D20,"/"),3)</f>
        <v>10_日次</v>
      </c>
      <c r="K20" s="16" t="str" cm="1">
        <f t="array" ref="K20">INDEX(_xlfn.TEXTSPLIT($D20,"/"),4)</f>
        <v>02_VAN</v>
      </c>
    </row>
    <row r="21" spans="1:11" x14ac:dyDescent="0.55000000000000004">
      <c r="A21" s="16" t="s">
        <v>523</v>
      </c>
      <c r="B21" s="16">
        <f t="shared" si="0"/>
        <v>19</v>
      </c>
      <c r="C21" s="16" t="s">
        <v>386</v>
      </c>
      <c r="D21" s="16" t="s">
        <v>429</v>
      </c>
      <c r="E21" s="16" t="s">
        <v>388</v>
      </c>
      <c r="F21" s="16" t="s">
        <v>389</v>
      </c>
      <c r="G21" s="16" t="s">
        <v>523</v>
      </c>
      <c r="I21" s="16" t="str" cm="1">
        <f t="array" ref="I21">INDEX(_xlfn.TEXTSPLIT($D21,"/"),2)</f>
        <v>GFOOT</v>
      </c>
      <c r="J21" s="16" t="str" cm="1">
        <f t="array" ref="J21">INDEX(_xlfn.TEXTSPLIT($D21,"/"),3)</f>
        <v>10_日次</v>
      </c>
      <c r="K21" s="16" t="str" cm="1">
        <f t="array" ref="K21">INDEX(_xlfn.TEXTSPLIT($D21,"/"),4)</f>
        <v>03_EC</v>
      </c>
    </row>
    <row r="22" spans="1:11" x14ac:dyDescent="0.55000000000000004">
      <c r="A22" s="16" t="s">
        <v>675</v>
      </c>
      <c r="B22" s="16">
        <f t="shared" si="0"/>
        <v>20</v>
      </c>
      <c r="C22" s="16" t="s">
        <v>430</v>
      </c>
      <c r="D22" s="16" t="s">
        <v>429</v>
      </c>
      <c r="E22" s="16" t="s">
        <v>431</v>
      </c>
      <c r="F22" s="16" t="s">
        <v>389</v>
      </c>
      <c r="G22" s="16" t="s">
        <v>675</v>
      </c>
      <c r="I22" s="16" t="str" cm="1">
        <f t="array" ref="I22">INDEX(_xlfn.TEXTSPLIT($D22,"/"),2)</f>
        <v>GFOOT</v>
      </c>
      <c r="J22" s="16" t="str" cm="1">
        <f t="array" ref="J22">INDEX(_xlfn.TEXTSPLIT($D22,"/"),3)</f>
        <v>10_日次</v>
      </c>
      <c r="K22" s="16" t="str" cm="1">
        <f t="array" ref="K22">INDEX(_xlfn.TEXTSPLIT($D22,"/"),4)</f>
        <v>03_EC</v>
      </c>
    </row>
    <row r="23" spans="1:11" x14ac:dyDescent="0.55000000000000004">
      <c r="A23" s="16" t="s">
        <v>434</v>
      </c>
      <c r="B23" s="16">
        <f t="shared" si="0"/>
        <v>21</v>
      </c>
      <c r="C23" s="16" t="s">
        <v>432</v>
      </c>
      <c r="D23" s="16" t="s">
        <v>433</v>
      </c>
      <c r="E23" s="16" t="s">
        <v>434</v>
      </c>
      <c r="F23" s="16" t="s">
        <v>389</v>
      </c>
      <c r="G23" s="16" t="s">
        <v>434</v>
      </c>
      <c r="I23" s="16" t="str" cm="1">
        <f t="array" ref="I23">INDEX(_xlfn.TEXTSPLIT($D23,"/"),2)</f>
        <v>GFOOT</v>
      </c>
      <c r="J23" s="16" t="str" cm="1">
        <f t="array" ref="J23">INDEX(_xlfn.TEXTSPLIT($D23,"/"),3)</f>
        <v>10_日次</v>
      </c>
      <c r="K23" s="16" t="str" cm="1">
        <f t="array" ref="K23">INDEX(_xlfn.TEXTSPLIT($D23,"/"),4)</f>
        <v>03_EC</v>
      </c>
    </row>
    <row r="24" spans="1:11" x14ac:dyDescent="0.55000000000000004">
      <c r="A24" s="16" t="s">
        <v>671</v>
      </c>
      <c r="B24" s="16">
        <f t="shared" si="0"/>
        <v>22</v>
      </c>
      <c r="C24" s="16" t="s">
        <v>432</v>
      </c>
      <c r="D24" s="16" t="s">
        <v>435</v>
      </c>
      <c r="E24" s="16" t="s">
        <v>421</v>
      </c>
      <c r="F24" s="16" t="s">
        <v>389</v>
      </c>
      <c r="G24" s="16" t="s">
        <v>671</v>
      </c>
      <c r="I24" s="16" t="str" cm="1">
        <f t="array" ref="I24">INDEX(_xlfn.TEXTSPLIT($D24,"/"),2)</f>
        <v>GFOOT</v>
      </c>
      <c r="J24" s="16" t="str" cm="1">
        <f t="array" ref="J24">INDEX(_xlfn.TEXTSPLIT($D24,"/"),3)</f>
        <v>10_日次</v>
      </c>
      <c r="K24" s="16" t="str" cm="1">
        <f t="array" ref="K24">INDEX(_xlfn.TEXTSPLIT($D24,"/"),4)</f>
        <v>03_EC</v>
      </c>
    </row>
    <row r="25" spans="1:11" x14ac:dyDescent="0.55000000000000004">
      <c r="A25" s="16" t="s">
        <v>523</v>
      </c>
      <c r="B25" s="16">
        <f t="shared" si="0"/>
        <v>23</v>
      </c>
      <c r="C25" s="16" t="s">
        <v>436</v>
      </c>
      <c r="D25" s="16" t="s">
        <v>437</v>
      </c>
      <c r="E25" s="16" t="s">
        <v>438</v>
      </c>
      <c r="F25" s="16" t="s">
        <v>389</v>
      </c>
      <c r="G25" s="16" t="s">
        <v>523</v>
      </c>
      <c r="I25" s="16" t="str" cm="1">
        <f t="array" ref="I25">INDEX(_xlfn.TEXTSPLIT($D25,"/"),2)</f>
        <v>GFOOT</v>
      </c>
      <c r="J25" s="16" t="str" cm="1">
        <f t="array" ref="J25">INDEX(_xlfn.TEXTSPLIT($D25,"/"),3)</f>
        <v>10_日次</v>
      </c>
      <c r="K25" s="16" t="str" cm="1">
        <f t="array" ref="K25">INDEX(_xlfn.TEXTSPLIT($D25,"/"),4)</f>
        <v>03_EC</v>
      </c>
    </row>
    <row r="26" spans="1:11" x14ac:dyDescent="0.55000000000000004">
      <c r="A26" s="16" t="s">
        <v>672</v>
      </c>
      <c r="B26" s="16">
        <f t="shared" si="0"/>
        <v>24</v>
      </c>
      <c r="C26" s="16" t="s">
        <v>439</v>
      </c>
      <c r="D26" s="16" t="s">
        <v>440</v>
      </c>
      <c r="E26" s="16" t="s">
        <v>441</v>
      </c>
      <c r="F26" s="16" t="s">
        <v>389</v>
      </c>
      <c r="G26" s="16" t="s">
        <v>672</v>
      </c>
      <c r="I26" s="16" t="str" cm="1">
        <f t="array" ref="I26">INDEX(_xlfn.TEXTSPLIT($D26,"/"),2)</f>
        <v>GFOOT</v>
      </c>
      <c r="J26" s="16" t="str" cm="1">
        <f t="array" ref="J26">INDEX(_xlfn.TEXTSPLIT($D26,"/"),3)</f>
        <v>10_日次</v>
      </c>
      <c r="K26" s="16" t="str" cm="1">
        <f t="array" ref="K26">INDEX(_xlfn.TEXTSPLIT($D26,"/"),4)</f>
        <v>05_棚卸</v>
      </c>
    </row>
    <row r="27" spans="1:11" x14ac:dyDescent="0.55000000000000004">
      <c r="A27" s="16" t="s">
        <v>444</v>
      </c>
      <c r="B27" s="16">
        <f t="shared" si="0"/>
        <v>25</v>
      </c>
      <c r="C27" s="16" t="s">
        <v>442</v>
      </c>
      <c r="D27" s="16" t="s">
        <v>443</v>
      </c>
      <c r="E27" s="16" t="s">
        <v>444</v>
      </c>
      <c r="F27" s="16" t="s">
        <v>389</v>
      </c>
      <c r="G27" s="16" t="s">
        <v>444</v>
      </c>
      <c r="I27" s="16" t="str" cm="1">
        <f t="array" ref="I27">INDEX(_xlfn.TEXTSPLIT($D27,"/"),2)</f>
        <v>GFOOT</v>
      </c>
      <c r="J27" s="16" t="str" cm="1">
        <f t="array" ref="J27">INDEX(_xlfn.TEXTSPLIT($D27,"/"),3)</f>
        <v>10_日次</v>
      </c>
      <c r="K27" s="16" t="str" cm="1">
        <f t="array" ref="K27">INDEX(_xlfn.TEXTSPLIT($D27,"/"),4)</f>
        <v>06_消耗品発注</v>
      </c>
    </row>
    <row r="28" spans="1:11" x14ac:dyDescent="0.55000000000000004">
      <c r="A28" s="16">
        <v>584</v>
      </c>
      <c r="B28" s="16">
        <f t="shared" si="0"/>
        <v>26</v>
      </c>
      <c r="C28" s="16" t="s">
        <v>445</v>
      </c>
      <c r="D28" s="16" t="s">
        <v>446</v>
      </c>
      <c r="E28" s="16" t="s">
        <v>447</v>
      </c>
      <c r="F28" s="16" t="s">
        <v>389</v>
      </c>
      <c r="G28" s="16">
        <v>584</v>
      </c>
      <c r="I28" s="16" t="str" cm="1">
        <f t="array" ref="I28">INDEX(_xlfn.TEXTSPLIT($D28,"/"),2)</f>
        <v>GFOOT</v>
      </c>
      <c r="J28" s="16" t="str" cm="1">
        <f t="array" ref="J28">INDEX(_xlfn.TEXTSPLIT($D28,"/"),3)</f>
        <v>10_日次</v>
      </c>
      <c r="K28" s="16" t="str" cm="1">
        <f t="array" ref="K28">INDEX(_xlfn.TEXTSPLIT($D28,"/"),4)</f>
        <v>08_商品供給</v>
      </c>
    </row>
    <row r="29" spans="1:11" x14ac:dyDescent="0.55000000000000004">
      <c r="A29" s="16">
        <v>583</v>
      </c>
      <c r="B29" s="16">
        <f t="shared" si="0"/>
        <v>27</v>
      </c>
      <c r="C29" s="16" t="s">
        <v>448</v>
      </c>
      <c r="D29" s="16" t="s">
        <v>446</v>
      </c>
      <c r="E29" s="16" t="s">
        <v>449</v>
      </c>
      <c r="F29" s="16" t="s">
        <v>389</v>
      </c>
      <c r="G29" s="16">
        <v>583</v>
      </c>
      <c r="I29" s="16" t="str" cm="1">
        <f t="array" ref="I29">INDEX(_xlfn.TEXTSPLIT($D29,"/"),2)</f>
        <v>GFOOT</v>
      </c>
      <c r="J29" s="16" t="str" cm="1">
        <f t="array" ref="J29">INDEX(_xlfn.TEXTSPLIT($D29,"/"),3)</f>
        <v>10_日次</v>
      </c>
      <c r="K29" s="16" t="str" cm="1">
        <f t="array" ref="K29">INDEX(_xlfn.TEXTSPLIT($D29,"/"),4)</f>
        <v>08_商品供給</v>
      </c>
    </row>
    <row r="30" spans="1:11" x14ac:dyDescent="0.55000000000000004">
      <c r="A30" s="16" t="s">
        <v>434</v>
      </c>
      <c r="B30" s="16">
        <f t="shared" si="0"/>
        <v>28</v>
      </c>
      <c r="C30" s="16" t="s">
        <v>450</v>
      </c>
      <c r="D30" s="16" t="s">
        <v>451</v>
      </c>
      <c r="E30" s="16" t="s">
        <v>452</v>
      </c>
      <c r="F30" s="16" t="s">
        <v>389</v>
      </c>
      <c r="G30" s="16" t="s">
        <v>434</v>
      </c>
      <c r="I30" s="16" t="str" cm="1">
        <f t="array" ref="I30">INDEX(_xlfn.TEXTSPLIT($D30,"/"),2)</f>
        <v>GFOOT</v>
      </c>
      <c r="J30" s="16" t="str" cm="1">
        <f t="array" ref="J30">INDEX(_xlfn.TEXTSPLIT($D30,"/"),3)</f>
        <v>10_日次</v>
      </c>
      <c r="K30" s="16" t="str" cm="1">
        <f t="array" ref="K30">INDEX(_xlfn.TEXTSPLIT($D30,"/"),4)</f>
        <v>08_商品供給</v>
      </c>
    </row>
    <row r="31" spans="1:11" x14ac:dyDescent="0.55000000000000004">
      <c r="A31" s="16" t="s">
        <v>523</v>
      </c>
      <c r="B31" s="16">
        <f t="shared" si="0"/>
        <v>29</v>
      </c>
      <c r="C31" s="16" t="s">
        <v>453</v>
      </c>
      <c r="D31" s="16" t="s">
        <v>454</v>
      </c>
      <c r="E31" s="16" t="s">
        <v>455</v>
      </c>
      <c r="F31" s="16" t="s">
        <v>389</v>
      </c>
      <c r="G31" s="16" t="s">
        <v>523</v>
      </c>
      <c r="I31" s="16" t="str" cm="1">
        <f t="array" ref="I31">INDEX(_xlfn.TEXTSPLIT($D31,"/"),2)</f>
        <v>GFOOT</v>
      </c>
      <c r="J31" s="16" t="str" cm="1">
        <f t="array" ref="J31">INDEX(_xlfn.TEXTSPLIT($D31,"/"),3)</f>
        <v>10_日次</v>
      </c>
      <c r="K31" s="16" t="str" cm="1">
        <f t="array" ref="K31">INDEX(_xlfn.TEXTSPLIT($D31,"/"),4)</f>
        <v>08_商品供給</v>
      </c>
    </row>
    <row r="32" spans="1:11" x14ac:dyDescent="0.55000000000000004">
      <c r="A32" s="16" t="s">
        <v>671</v>
      </c>
      <c r="B32" s="16">
        <f t="shared" si="0"/>
        <v>30</v>
      </c>
      <c r="C32" s="16" t="s">
        <v>456</v>
      </c>
      <c r="D32" s="16" t="s">
        <v>457</v>
      </c>
      <c r="E32" s="16" t="s">
        <v>421</v>
      </c>
      <c r="F32" s="16" t="s">
        <v>389</v>
      </c>
      <c r="G32" s="16" t="s">
        <v>671</v>
      </c>
      <c r="I32" s="16" t="str" cm="1">
        <f t="array" ref="I32">INDEX(_xlfn.TEXTSPLIT($D32,"/"),2)</f>
        <v>GFOOT</v>
      </c>
      <c r="J32" s="16" t="str" cm="1">
        <f t="array" ref="J32">INDEX(_xlfn.TEXTSPLIT($D32,"/"),3)</f>
        <v>10_日次</v>
      </c>
      <c r="K32" s="16" t="str" cm="1">
        <f t="array" ref="K32">INDEX(_xlfn.TEXTSPLIT($D32,"/"),4)</f>
        <v>09_取引先</v>
      </c>
    </row>
    <row r="33" spans="1:11" x14ac:dyDescent="0.55000000000000004">
      <c r="A33" s="16" t="s">
        <v>672</v>
      </c>
      <c r="B33" s="16">
        <f t="shared" si="0"/>
        <v>31</v>
      </c>
      <c r="C33" s="16" t="s">
        <v>458</v>
      </c>
      <c r="D33" s="16" t="s">
        <v>457</v>
      </c>
      <c r="E33" s="16" t="s">
        <v>459</v>
      </c>
      <c r="F33" s="16" t="s">
        <v>389</v>
      </c>
      <c r="G33" s="16" t="s">
        <v>672</v>
      </c>
      <c r="I33" s="16" t="str" cm="1">
        <f t="array" ref="I33">INDEX(_xlfn.TEXTSPLIT($D33,"/"),2)</f>
        <v>GFOOT</v>
      </c>
      <c r="J33" s="16" t="str" cm="1">
        <f t="array" ref="J33">INDEX(_xlfn.TEXTSPLIT($D33,"/"),3)</f>
        <v>10_日次</v>
      </c>
      <c r="K33" s="16" t="str" cm="1">
        <f t="array" ref="K33">INDEX(_xlfn.TEXTSPLIT($D33,"/"),4)</f>
        <v>09_取引先</v>
      </c>
    </row>
    <row r="34" spans="1:11" x14ac:dyDescent="0.55000000000000004">
      <c r="A34" s="16" t="s">
        <v>571</v>
      </c>
      <c r="B34" s="16">
        <f t="shared" si="0"/>
        <v>32</v>
      </c>
      <c r="C34" s="16" t="s">
        <v>460</v>
      </c>
      <c r="D34" s="16" t="s">
        <v>461</v>
      </c>
      <c r="E34" s="16" t="s">
        <v>462</v>
      </c>
      <c r="F34" s="16" t="s">
        <v>389</v>
      </c>
      <c r="G34" s="16" t="s">
        <v>571</v>
      </c>
      <c r="I34" s="16" t="str" cm="1">
        <f t="array" ref="I34">INDEX(_xlfn.TEXTSPLIT($D34,"/"),2)</f>
        <v>GFOOT</v>
      </c>
      <c r="J34" s="16" t="str" cm="1">
        <f t="array" ref="J34">INDEX(_xlfn.TEXTSPLIT($D34,"/"),3)</f>
        <v>10_日次</v>
      </c>
      <c r="K34" s="16" t="str" cm="1">
        <f t="array" ref="K34">INDEX(_xlfn.TEXTSPLIT($D34,"/"),4)</f>
        <v>10_DWH</v>
      </c>
    </row>
    <row r="35" spans="1:11" x14ac:dyDescent="0.55000000000000004">
      <c r="A35" s="16" t="s">
        <v>694</v>
      </c>
      <c r="B35" s="16">
        <f t="shared" si="0"/>
        <v>33</v>
      </c>
      <c r="C35" s="16" t="s">
        <v>463</v>
      </c>
      <c r="D35" s="16" t="s">
        <v>464</v>
      </c>
      <c r="E35" s="16" t="s">
        <v>465</v>
      </c>
      <c r="F35" s="16" t="s">
        <v>389</v>
      </c>
      <c r="G35" s="16" t="s">
        <v>694</v>
      </c>
      <c r="I35" s="16" t="str" cm="1">
        <f t="array" ref="I35">INDEX(_xlfn.TEXTSPLIT($D35,"/"),2)</f>
        <v>GFOOT</v>
      </c>
      <c r="J35" s="16" t="str" cm="1">
        <f t="array" ref="J35">INDEX(_xlfn.TEXTSPLIT($D35,"/"),3)</f>
        <v>10_日次</v>
      </c>
      <c r="K35" s="16" t="str" cm="1">
        <f t="array" ref="K35">INDEX(_xlfn.TEXTSPLIT($D35,"/"),4)</f>
        <v>10_DWH</v>
      </c>
    </row>
    <row r="36" spans="1:11" x14ac:dyDescent="0.55000000000000004">
      <c r="A36" s="16" t="s">
        <v>680</v>
      </c>
      <c r="B36" s="16">
        <f t="shared" si="0"/>
        <v>34</v>
      </c>
      <c r="C36" s="16" t="s">
        <v>466</v>
      </c>
      <c r="D36" s="16" t="s">
        <v>467</v>
      </c>
      <c r="E36" s="16" t="s">
        <v>468</v>
      </c>
      <c r="F36" s="16" t="s">
        <v>389</v>
      </c>
      <c r="G36" s="16" t="s">
        <v>680</v>
      </c>
      <c r="I36" s="16" t="str" cm="1">
        <f t="array" ref="I36">INDEX(_xlfn.TEXTSPLIT($D36,"/"),2)</f>
        <v>GFOOT</v>
      </c>
      <c r="J36" s="16" t="str" cm="1">
        <f t="array" ref="J36">INDEX(_xlfn.TEXTSPLIT($D36,"/"),3)</f>
        <v>10_日次</v>
      </c>
      <c r="K36" s="16" t="str" cm="1">
        <f t="array" ref="K36">INDEX(_xlfn.TEXTSPLIT($D36,"/"),4)</f>
        <v>10_DWH</v>
      </c>
    </row>
    <row r="37" spans="1:11" x14ac:dyDescent="0.55000000000000004">
      <c r="A37" s="16" t="s">
        <v>434</v>
      </c>
      <c r="B37" s="16">
        <f t="shared" si="0"/>
        <v>35</v>
      </c>
      <c r="C37" s="16" t="s">
        <v>432</v>
      </c>
      <c r="D37" s="16" t="s">
        <v>467</v>
      </c>
      <c r="E37" s="16" t="s">
        <v>469</v>
      </c>
      <c r="F37" s="16" t="s">
        <v>389</v>
      </c>
      <c r="G37" s="16" t="s">
        <v>434</v>
      </c>
      <c r="I37" s="16" t="str" cm="1">
        <f t="array" ref="I37">INDEX(_xlfn.TEXTSPLIT($D37,"/"),2)</f>
        <v>GFOOT</v>
      </c>
      <c r="J37" s="16" t="str" cm="1">
        <f t="array" ref="J37">INDEX(_xlfn.TEXTSPLIT($D37,"/"),3)</f>
        <v>10_日次</v>
      </c>
      <c r="K37" s="16" t="str" cm="1">
        <f t="array" ref="K37">INDEX(_xlfn.TEXTSPLIT($D37,"/"),4)</f>
        <v>10_DWH</v>
      </c>
    </row>
    <row r="38" spans="1:11" x14ac:dyDescent="0.55000000000000004">
      <c r="A38" s="16" t="s">
        <v>681</v>
      </c>
      <c r="B38" s="16">
        <f t="shared" si="0"/>
        <v>36</v>
      </c>
      <c r="C38" s="16" t="s">
        <v>470</v>
      </c>
      <c r="D38" s="16" t="s">
        <v>467</v>
      </c>
      <c r="E38" s="16" t="s">
        <v>471</v>
      </c>
      <c r="F38" s="16" t="s">
        <v>389</v>
      </c>
      <c r="G38" s="16" t="s">
        <v>681</v>
      </c>
      <c r="I38" s="16" t="str" cm="1">
        <f t="array" ref="I38">INDEX(_xlfn.TEXTSPLIT($D38,"/"),2)</f>
        <v>GFOOT</v>
      </c>
      <c r="J38" s="16" t="str" cm="1">
        <f t="array" ref="J38">INDEX(_xlfn.TEXTSPLIT($D38,"/"),3)</f>
        <v>10_日次</v>
      </c>
      <c r="K38" s="16" t="str" cm="1">
        <f t="array" ref="K38">INDEX(_xlfn.TEXTSPLIT($D38,"/"),4)</f>
        <v>10_DWH</v>
      </c>
    </row>
    <row r="39" spans="1:11" x14ac:dyDescent="0.55000000000000004">
      <c r="A39" s="16" t="s">
        <v>691</v>
      </c>
      <c r="B39" s="16">
        <f t="shared" si="0"/>
        <v>37</v>
      </c>
      <c r="C39" s="16" t="s">
        <v>472</v>
      </c>
      <c r="D39" s="16" t="s">
        <v>473</v>
      </c>
      <c r="E39" s="16" t="s">
        <v>474</v>
      </c>
      <c r="F39" s="16" t="s">
        <v>389</v>
      </c>
      <c r="G39" s="16" t="s">
        <v>691</v>
      </c>
      <c r="I39" s="16" t="str" cm="1">
        <f t="array" ref="I39">INDEX(_xlfn.TEXTSPLIT($D39,"/"),2)</f>
        <v>GFOOT</v>
      </c>
      <c r="J39" s="16" t="str" cm="1">
        <f t="array" ref="J39">INDEX(_xlfn.TEXTSPLIT($D39,"/"),3)</f>
        <v>10_日次</v>
      </c>
      <c r="K39" s="16" t="str" cm="1">
        <f t="array" ref="K39">INDEX(_xlfn.TEXTSPLIT($D39,"/"),4)</f>
        <v>10_DWH</v>
      </c>
    </row>
    <row r="40" spans="1:11" x14ac:dyDescent="0.55000000000000004">
      <c r="A40" s="16">
        <v>705</v>
      </c>
      <c r="B40" s="16">
        <f t="shared" si="0"/>
        <v>38</v>
      </c>
      <c r="C40" s="16" t="s">
        <v>475</v>
      </c>
      <c r="D40" s="16" t="s">
        <v>476</v>
      </c>
      <c r="E40" s="16" t="s">
        <v>477</v>
      </c>
      <c r="F40" s="16" t="s">
        <v>389</v>
      </c>
      <c r="G40" s="16">
        <v>705</v>
      </c>
      <c r="I40" s="16" t="str" cm="1">
        <f t="array" ref="I40">INDEX(_xlfn.TEXTSPLIT($D40,"/"),2)</f>
        <v>GFOOT</v>
      </c>
      <c r="J40" s="16" t="str" cm="1">
        <f t="array" ref="J40">INDEX(_xlfn.TEXTSPLIT($D40,"/"),3)</f>
        <v>10_日次</v>
      </c>
      <c r="K40" s="16" t="str" cm="1">
        <f t="array" ref="K40">INDEX(_xlfn.TEXTSPLIT($D40,"/"),4)</f>
        <v>10_DWH</v>
      </c>
    </row>
    <row r="41" spans="1:11" x14ac:dyDescent="0.55000000000000004">
      <c r="A41" s="16" t="s">
        <v>670</v>
      </c>
      <c r="B41" s="16">
        <f t="shared" si="0"/>
        <v>39</v>
      </c>
      <c r="C41" s="16" t="s">
        <v>475</v>
      </c>
      <c r="D41" s="16" t="s">
        <v>478</v>
      </c>
      <c r="E41" s="16" t="s">
        <v>479</v>
      </c>
      <c r="F41" s="16" t="s">
        <v>389</v>
      </c>
      <c r="G41" s="16" t="s">
        <v>670</v>
      </c>
      <c r="I41" s="16" t="str" cm="1">
        <f t="array" ref="I41">INDEX(_xlfn.TEXTSPLIT($D41,"/"),2)</f>
        <v>GFOOT</v>
      </c>
      <c r="J41" s="16" t="str" cm="1">
        <f t="array" ref="J41">INDEX(_xlfn.TEXTSPLIT($D41,"/"),3)</f>
        <v>10_日次</v>
      </c>
      <c r="K41" s="16" t="str" cm="1">
        <f t="array" ref="K41">INDEX(_xlfn.TEXTSPLIT($D41,"/"),4)</f>
        <v>10_DWH</v>
      </c>
    </row>
    <row r="42" spans="1:11" x14ac:dyDescent="0.55000000000000004">
      <c r="A42" s="16" t="s">
        <v>523</v>
      </c>
      <c r="B42" s="16">
        <f t="shared" si="0"/>
        <v>40</v>
      </c>
      <c r="C42" s="16" t="s">
        <v>480</v>
      </c>
      <c r="D42" s="16" t="s">
        <v>481</v>
      </c>
      <c r="E42" s="16" t="s">
        <v>482</v>
      </c>
      <c r="F42" s="16" t="s">
        <v>389</v>
      </c>
      <c r="G42" s="16" t="s">
        <v>523</v>
      </c>
      <c r="I42" s="16" t="str" cm="1">
        <f t="array" ref="I42">INDEX(_xlfn.TEXTSPLIT($D42,"/"),2)</f>
        <v>GFOOT</v>
      </c>
      <c r="J42" s="16" t="str" cm="1">
        <f t="array" ref="J42">INDEX(_xlfn.TEXTSPLIT($D42,"/"),3)</f>
        <v>10_日次</v>
      </c>
      <c r="K42" s="16" t="str" cm="1">
        <f t="array" ref="K42">INDEX(_xlfn.TEXTSPLIT($D42,"/"),4)</f>
        <v>10_NAIS</v>
      </c>
    </row>
    <row r="43" spans="1:11" x14ac:dyDescent="0.55000000000000004">
      <c r="A43" s="16" t="s">
        <v>626</v>
      </c>
      <c r="B43" s="16">
        <f t="shared" si="0"/>
        <v>41</v>
      </c>
      <c r="C43" s="16" t="s">
        <v>483</v>
      </c>
      <c r="D43" s="16" t="s">
        <v>484</v>
      </c>
      <c r="E43" s="16" t="s">
        <v>485</v>
      </c>
      <c r="F43" s="16" t="s">
        <v>389</v>
      </c>
      <c r="G43" s="16" t="s">
        <v>626</v>
      </c>
      <c r="I43" s="16" t="str" cm="1">
        <f t="array" ref="I43">INDEX(_xlfn.TEXTSPLIT($D43,"/"),2)</f>
        <v>GFOOT</v>
      </c>
      <c r="J43" s="16" t="str" cm="1">
        <f t="array" ref="J43">INDEX(_xlfn.TEXTSPLIT($D43,"/"),3)</f>
        <v>10_日次</v>
      </c>
      <c r="K43" s="16" t="str" cm="1">
        <f t="array" ref="K43">INDEX(_xlfn.TEXTSPLIT($D43,"/"),4)</f>
        <v>10_NAIS</v>
      </c>
    </row>
    <row r="44" spans="1:11" x14ac:dyDescent="0.55000000000000004">
      <c r="A44" s="16" t="s">
        <v>667</v>
      </c>
      <c r="B44" s="16">
        <f t="shared" si="0"/>
        <v>42</v>
      </c>
      <c r="C44" s="16" t="s">
        <v>486</v>
      </c>
      <c r="D44" s="16" t="s">
        <v>484</v>
      </c>
      <c r="E44" s="16" t="s">
        <v>487</v>
      </c>
      <c r="F44" s="16" t="s">
        <v>389</v>
      </c>
      <c r="G44" s="16" t="s">
        <v>667</v>
      </c>
      <c r="I44" s="16" t="str" cm="1">
        <f t="array" ref="I44">INDEX(_xlfn.TEXTSPLIT($D44,"/"),2)</f>
        <v>GFOOT</v>
      </c>
      <c r="J44" s="16" t="str" cm="1">
        <f t="array" ref="J44">INDEX(_xlfn.TEXTSPLIT($D44,"/"),3)</f>
        <v>10_日次</v>
      </c>
      <c r="K44" s="16" t="str" cm="1">
        <f t="array" ref="K44">INDEX(_xlfn.TEXTSPLIT($D44,"/"),4)</f>
        <v>10_NAIS</v>
      </c>
    </row>
    <row r="45" spans="1:11" x14ac:dyDescent="0.55000000000000004">
      <c r="A45" s="16" t="s">
        <v>687</v>
      </c>
      <c r="B45" s="16">
        <f t="shared" si="0"/>
        <v>43</v>
      </c>
      <c r="C45" s="16" t="s">
        <v>488</v>
      </c>
      <c r="D45" s="16" t="s">
        <v>484</v>
      </c>
      <c r="E45" s="16" t="s">
        <v>489</v>
      </c>
      <c r="F45" s="16" t="s">
        <v>389</v>
      </c>
      <c r="G45" s="16" t="s">
        <v>687</v>
      </c>
      <c r="I45" s="16" t="str" cm="1">
        <f t="array" ref="I45">INDEX(_xlfn.TEXTSPLIT($D45,"/"),2)</f>
        <v>GFOOT</v>
      </c>
      <c r="J45" s="16" t="str" cm="1">
        <f t="array" ref="J45">INDEX(_xlfn.TEXTSPLIT($D45,"/"),3)</f>
        <v>10_日次</v>
      </c>
      <c r="K45" s="16" t="str" cm="1">
        <f t="array" ref="K45">INDEX(_xlfn.TEXTSPLIT($D45,"/"),4)</f>
        <v>10_NAIS</v>
      </c>
    </row>
    <row r="46" spans="1:11" x14ac:dyDescent="0.55000000000000004">
      <c r="A46" s="16" t="s">
        <v>688</v>
      </c>
      <c r="B46" s="16">
        <f t="shared" si="0"/>
        <v>44</v>
      </c>
      <c r="C46" s="16" t="s">
        <v>490</v>
      </c>
      <c r="D46" s="16" t="s">
        <v>484</v>
      </c>
      <c r="E46" s="16" t="s">
        <v>491</v>
      </c>
      <c r="F46" s="16" t="s">
        <v>389</v>
      </c>
      <c r="G46" s="16" t="s">
        <v>688</v>
      </c>
      <c r="I46" s="16" t="str" cm="1">
        <f t="array" ref="I46">INDEX(_xlfn.TEXTSPLIT($D46,"/"),2)</f>
        <v>GFOOT</v>
      </c>
      <c r="J46" s="16" t="str" cm="1">
        <f t="array" ref="J46">INDEX(_xlfn.TEXTSPLIT($D46,"/"),3)</f>
        <v>10_日次</v>
      </c>
      <c r="K46" s="16" t="str" cm="1">
        <f t="array" ref="K46">INDEX(_xlfn.TEXTSPLIT($D46,"/"),4)</f>
        <v>10_NAIS</v>
      </c>
    </row>
    <row r="47" spans="1:11" x14ac:dyDescent="0.55000000000000004">
      <c r="A47" s="16" t="s">
        <v>695</v>
      </c>
      <c r="B47" s="16">
        <f t="shared" si="0"/>
        <v>45</v>
      </c>
      <c r="C47" s="16" t="s">
        <v>492</v>
      </c>
      <c r="D47" s="16" t="s">
        <v>493</v>
      </c>
      <c r="E47" s="16" t="s">
        <v>494</v>
      </c>
      <c r="F47" s="16" t="s">
        <v>389</v>
      </c>
      <c r="G47" s="16" t="s">
        <v>695</v>
      </c>
      <c r="I47" s="16" t="str" cm="1">
        <f t="array" ref="I47">INDEX(_xlfn.TEXTSPLIT($D47,"/"),2)</f>
        <v>GFOOT</v>
      </c>
      <c r="J47" s="16" t="str" cm="1">
        <f t="array" ref="J47">INDEX(_xlfn.TEXTSPLIT($D47,"/"),3)</f>
        <v>10_日次</v>
      </c>
      <c r="K47" s="16" t="str" cm="1">
        <f t="array" ref="K47">INDEX(_xlfn.TEXTSPLIT($D47,"/"),4)</f>
        <v>20_会計関連</v>
      </c>
    </row>
    <row r="48" spans="1:11" x14ac:dyDescent="0.55000000000000004">
      <c r="A48" s="16" t="s">
        <v>674</v>
      </c>
      <c r="B48" s="16">
        <f t="shared" si="0"/>
        <v>46</v>
      </c>
      <c r="C48" s="16" t="s">
        <v>495</v>
      </c>
      <c r="D48" s="16" t="s">
        <v>496</v>
      </c>
      <c r="E48" s="16" t="s">
        <v>497</v>
      </c>
      <c r="F48" s="16" t="s">
        <v>389</v>
      </c>
      <c r="G48" s="16" t="s">
        <v>674</v>
      </c>
      <c r="I48" s="16" t="str" cm="1">
        <f t="array" ref="I48">INDEX(_xlfn.TEXTSPLIT($D48,"/"),2)</f>
        <v>GFOOT</v>
      </c>
      <c r="J48" s="16" t="str" cm="1">
        <f t="array" ref="J48">INDEX(_xlfn.TEXTSPLIT($D48,"/"),3)</f>
        <v>10_日次</v>
      </c>
      <c r="K48" s="16" t="str" cm="1">
        <f t="array" ref="K48">INDEX(_xlfn.TEXTSPLIT($D48,"/"),4)</f>
        <v>20_会計関連</v>
      </c>
    </row>
    <row r="49" spans="1:11" x14ac:dyDescent="0.55000000000000004">
      <c r="A49" s="16" t="s">
        <v>673</v>
      </c>
      <c r="B49" s="16">
        <f t="shared" si="0"/>
        <v>47</v>
      </c>
      <c r="C49" s="16" t="s">
        <v>498</v>
      </c>
      <c r="D49" s="16" t="s">
        <v>499</v>
      </c>
      <c r="E49" s="16" t="s">
        <v>500</v>
      </c>
      <c r="F49" s="16" t="s">
        <v>389</v>
      </c>
      <c r="G49" s="16" t="s">
        <v>673</v>
      </c>
      <c r="I49" s="16" t="str" cm="1">
        <f t="array" ref="I49">INDEX(_xlfn.TEXTSPLIT($D49,"/"),2)</f>
        <v>GFOOT</v>
      </c>
      <c r="J49" s="16" t="str" cm="1">
        <f t="array" ref="J49">INDEX(_xlfn.TEXTSPLIT($D49,"/"),3)</f>
        <v>10_日次</v>
      </c>
      <c r="K49" s="16" t="str" cm="1">
        <f t="array" ref="K49">INDEX(_xlfn.TEXTSPLIT($D49,"/"),4)</f>
        <v>30_人事関連</v>
      </c>
    </row>
    <row r="50" spans="1:11" x14ac:dyDescent="0.55000000000000004">
      <c r="A50" s="16" t="s">
        <v>674</v>
      </c>
      <c r="B50" s="16">
        <f t="shared" si="0"/>
        <v>48</v>
      </c>
      <c r="C50" s="16" t="s">
        <v>501</v>
      </c>
      <c r="D50" s="16" t="s">
        <v>502</v>
      </c>
      <c r="E50" s="16" t="s">
        <v>503</v>
      </c>
      <c r="F50" s="16" t="s">
        <v>389</v>
      </c>
      <c r="G50" s="16" t="s">
        <v>674</v>
      </c>
      <c r="I50" s="16" t="str" cm="1">
        <f t="array" ref="I50">INDEX(_xlfn.TEXTSPLIT($D50,"/"),2)</f>
        <v>GFOOT</v>
      </c>
      <c r="J50" s="16" t="str" cm="1">
        <f t="array" ref="J50">INDEX(_xlfn.TEXTSPLIT($D50,"/"),3)</f>
        <v>10_日次</v>
      </c>
      <c r="K50" s="16" t="str" cm="1">
        <f t="array" ref="K50">INDEX(_xlfn.TEXTSPLIT($D50,"/"),4)</f>
        <v>30_人事関連</v>
      </c>
    </row>
    <row r="51" spans="1:11" x14ac:dyDescent="0.55000000000000004">
      <c r="A51" s="16" t="s">
        <v>674</v>
      </c>
      <c r="B51" s="16">
        <f t="shared" si="0"/>
        <v>49</v>
      </c>
      <c r="C51" s="16" t="s">
        <v>501</v>
      </c>
      <c r="D51" s="16" t="s">
        <v>504</v>
      </c>
      <c r="E51" s="16" t="s">
        <v>503</v>
      </c>
      <c r="F51" s="16" t="s">
        <v>389</v>
      </c>
      <c r="G51" s="16" t="s">
        <v>674</v>
      </c>
      <c r="I51" s="16" t="str" cm="1">
        <f t="array" ref="I51">INDEX(_xlfn.TEXTSPLIT($D51,"/"),2)</f>
        <v>GFOOT</v>
      </c>
      <c r="J51" s="16" t="str" cm="1">
        <f t="array" ref="J51">INDEX(_xlfn.TEXTSPLIT($D51,"/"),3)</f>
        <v>10_日次</v>
      </c>
      <c r="K51" s="16" t="str" cm="1">
        <f t="array" ref="K51">INDEX(_xlfn.TEXTSPLIT($D51,"/"),4)</f>
        <v>30_人事関連</v>
      </c>
    </row>
    <row r="52" spans="1:11" x14ac:dyDescent="0.55000000000000004">
      <c r="A52" s="16" t="s">
        <v>674</v>
      </c>
      <c r="B52" s="16">
        <f t="shared" si="0"/>
        <v>50</v>
      </c>
      <c r="C52" s="16" t="s">
        <v>505</v>
      </c>
      <c r="D52" s="16" t="s">
        <v>506</v>
      </c>
      <c r="E52" s="16" t="s">
        <v>507</v>
      </c>
      <c r="F52" s="16" t="s">
        <v>389</v>
      </c>
      <c r="G52" s="16" t="s">
        <v>674</v>
      </c>
      <c r="I52" s="16" t="str" cm="1">
        <f t="array" ref="I52">INDEX(_xlfn.TEXTSPLIT($D52,"/"),2)</f>
        <v>GFOOT</v>
      </c>
      <c r="J52" s="16" t="str" cm="1">
        <f t="array" ref="J52">INDEX(_xlfn.TEXTSPLIT($D52,"/"),3)</f>
        <v>10_日次</v>
      </c>
      <c r="K52" s="16" t="str" cm="1">
        <f t="array" ref="K52">INDEX(_xlfn.TEXTSPLIT($D52,"/"),4)</f>
        <v>30_人事関連</v>
      </c>
    </row>
    <row r="53" spans="1:11" x14ac:dyDescent="0.55000000000000004">
      <c r="A53" s="16" t="s">
        <v>434</v>
      </c>
      <c r="B53" s="16">
        <f t="shared" si="0"/>
        <v>51</v>
      </c>
      <c r="C53" s="16" t="s">
        <v>432</v>
      </c>
      <c r="D53" s="16" t="s">
        <v>508</v>
      </c>
      <c r="E53" s="16" t="s">
        <v>509</v>
      </c>
      <c r="F53" s="16" t="s">
        <v>389</v>
      </c>
      <c r="G53" s="16" t="s">
        <v>434</v>
      </c>
      <c r="I53" s="16" t="str" cm="1">
        <f t="array" ref="I53">INDEX(_xlfn.TEXTSPLIT($D53,"/"),2)</f>
        <v>GFOOT</v>
      </c>
      <c r="J53" s="16" t="str" cm="1">
        <f t="array" ref="J53">INDEX(_xlfn.TEXTSPLIT($D53,"/"),3)</f>
        <v>10_日次</v>
      </c>
      <c r="K53" s="16" t="str" cm="1">
        <f t="array" ref="K53">INDEX(_xlfn.TEXTSPLIT($D53,"/"),4)</f>
        <v>31_店舗</v>
      </c>
    </row>
    <row r="54" spans="1:11" x14ac:dyDescent="0.55000000000000004">
      <c r="A54" s="16" t="s">
        <v>672</v>
      </c>
      <c r="B54" s="16">
        <f t="shared" si="0"/>
        <v>52</v>
      </c>
      <c r="C54" s="16" t="s">
        <v>510</v>
      </c>
      <c r="D54" s="16" t="s">
        <v>508</v>
      </c>
      <c r="E54" s="16" t="s">
        <v>511</v>
      </c>
      <c r="F54" s="16" t="s">
        <v>389</v>
      </c>
      <c r="G54" s="16" t="s">
        <v>672</v>
      </c>
      <c r="I54" s="16" t="str" cm="1">
        <f t="array" ref="I54">INDEX(_xlfn.TEXTSPLIT($D54,"/"),2)</f>
        <v>GFOOT</v>
      </c>
      <c r="J54" s="16" t="str" cm="1">
        <f t="array" ref="J54">INDEX(_xlfn.TEXTSPLIT($D54,"/"),3)</f>
        <v>10_日次</v>
      </c>
      <c r="K54" s="16" t="str" cm="1">
        <f t="array" ref="K54">INDEX(_xlfn.TEXTSPLIT($D54,"/"),4)</f>
        <v>31_店舗</v>
      </c>
    </row>
    <row r="55" spans="1:11" x14ac:dyDescent="0.55000000000000004">
      <c r="A55" s="16" t="s">
        <v>682</v>
      </c>
      <c r="B55" s="16">
        <f t="shared" si="0"/>
        <v>53</v>
      </c>
      <c r="C55" s="16" t="s">
        <v>512</v>
      </c>
      <c r="D55" s="16" t="s">
        <v>513</v>
      </c>
      <c r="E55" s="16" t="s">
        <v>514</v>
      </c>
      <c r="F55" s="16" t="s">
        <v>389</v>
      </c>
      <c r="G55" s="16" t="s">
        <v>682</v>
      </c>
      <c r="I55" s="16" t="str" cm="1">
        <f t="array" ref="I55">INDEX(_xlfn.TEXTSPLIT($D55,"/"),2)</f>
        <v>GFOOT</v>
      </c>
      <c r="J55" s="16" t="str" cm="1">
        <f t="array" ref="J55">INDEX(_xlfn.TEXTSPLIT($D55,"/"),3)</f>
        <v>10_日次</v>
      </c>
      <c r="K55" s="16" t="str" cm="1">
        <f t="array" ref="K55">INDEX(_xlfn.TEXTSPLIT($D55,"/"),4)</f>
        <v>50_商品関連</v>
      </c>
    </row>
    <row r="56" spans="1:11" x14ac:dyDescent="0.55000000000000004">
      <c r="A56" s="16" t="s">
        <v>523</v>
      </c>
      <c r="B56" s="16">
        <f t="shared" si="0"/>
        <v>54</v>
      </c>
      <c r="C56" s="16" t="s">
        <v>515</v>
      </c>
      <c r="D56" s="16" t="s">
        <v>516</v>
      </c>
      <c r="E56" s="16" t="s">
        <v>517</v>
      </c>
      <c r="F56" s="16" t="s">
        <v>389</v>
      </c>
      <c r="G56" s="16" t="s">
        <v>523</v>
      </c>
      <c r="I56" s="16" t="str" cm="1">
        <f t="array" ref="I56">INDEX(_xlfn.TEXTSPLIT($D56,"/"),2)</f>
        <v>GFOOT</v>
      </c>
      <c r="J56" s="16" t="str" cm="1">
        <f t="array" ref="J56">INDEX(_xlfn.TEXTSPLIT($D56,"/"),3)</f>
        <v>10_日次</v>
      </c>
      <c r="K56" s="16" t="str" cm="1">
        <f t="array" ref="K56">INDEX(_xlfn.TEXTSPLIT($D56,"/"),4)</f>
        <v>51_POPシステム</v>
      </c>
    </row>
    <row r="57" spans="1:11" x14ac:dyDescent="0.55000000000000004">
      <c r="A57" s="16" t="s">
        <v>671</v>
      </c>
      <c r="B57" s="16">
        <f t="shared" si="0"/>
        <v>55</v>
      </c>
      <c r="C57" s="16" t="s">
        <v>518</v>
      </c>
      <c r="D57" s="16" t="s">
        <v>519</v>
      </c>
      <c r="E57" s="16" t="s">
        <v>520</v>
      </c>
      <c r="F57" s="16" t="s">
        <v>389</v>
      </c>
      <c r="G57" s="16" t="s">
        <v>671</v>
      </c>
      <c r="I57" s="16" t="str" cm="1">
        <f t="array" ref="I57">INDEX(_xlfn.TEXTSPLIT($D57,"/"),2)</f>
        <v>GFOOT</v>
      </c>
      <c r="J57" s="16" t="str" cm="1">
        <f t="array" ref="J57">INDEX(_xlfn.TEXTSPLIT($D57,"/"),3)</f>
        <v>10_日次</v>
      </c>
      <c r="K57" s="16" t="str" cm="1">
        <f t="array" ref="K57">INDEX(_xlfn.TEXTSPLIT($D57,"/"),4)</f>
        <v>60_予算関連</v>
      </c>
    </row>
    <row r="58" spans="1:11" x14ac:dyDescent="0.55000000000000004">
      <c r="A58" s="16" t="s">
        <v>523</v>
      </c>
      <c r="B58" s="16">
        <f t="shared" si="0"/>
        <v>56</v>
      </c>
      <c r="C58" s="16" t="s">
        <v>521</v>
      </c>
      <c r="D58" s="16" t="s">
        <v>522</v>
      </c>
      <c r="E58" s="16" t="s">
        <v>523</v>
      </c>
      <c r="F58" s="16" t="s">
        <v>389</v>
      </c>
      <c r="G58" s="16" t="s">
        <v>523</v>
      </c>
      <c r="I58" s="16" t="str" cm="1">
        <f t="array" ref="I58">INDEX(_xlfn.TEXTSPLIT($D58,"/"),2)</f>
        <v>GFOOT</v>
      </c>
      <c r="J58" s="16" t="str" cm="1">
        <f t="array" ref="J58">INDEX(_xlfn.TEXTSPLIT($D58,"/"),3)</f>
        <v>10_日次</v>
      </c>
      <c r="K58" s="16" t="str" cm="1">
        <f t="array" ref="K58">INDEX(_xlfn.TEXTSPLIT($D58,"/"),4)</f>
        <v>N0100_02_日次</v>
      </c>
    </row>
    <row r="59" spans="1:11" x14ac:dyDescent="0.55000000000000004">
      <c r="A59" s="16" t="s">
        <v>661</v>
      </c>
      <c r="B59" s="16">
        <f t="shared" si="0"/>
        <v>57</v>
      </c>
      <c r="C59" s="16" t="s">
        <v>524</v>
      </c>
      <c r="D59" s="16" t="s">
        <v>525</v>
      </c>
      <c r="E59" s="16" t="s">
        <v>526</v>
      </c>
      <c r="F59" s="16" t="s">
        <v>389</v>
      </c>
      <c r="G59" s="16" t="s">
        <v>661</v>
      </c>
      <c r="I59" s="16" t="str" cm="1">
        <f t="array" ref="I59">INDEX(_xlfn.TEXTSPLIT($D59,"/"),2)</f>
        <v>GFOOT</v>
      </c>
      <c r="J59" s="16" t="str" cm="1">
        <f t="array" ref="J59">INDEX(_xlfn.TEXTSPLIT($D59,"/"),3)</f>
        <v>10_日次</v>
      </c>
      <c r="K59" s="16" t="str" cm="1">
        <f t="array" ref="K59">INDEX(_xlfn.TEXTSPLIT($D59,"/"),4)</f>
        <v>N0100_02_日次</v>
      </c>
    </row>
    <row r="60" spans="1:11" x14ac:dyDescent="0.55000000000000004">
      <c r="A60" s="16" t="s">
        <v>676</v>
      </c>
      <c r="B60" s="16">
        <f t="shared" si="0"/>
        <v>58</v>
      </c>
      <c r="C60" s="16" t="s">
        <v>527</v>
      </c>
      <c r="D60" s="16" t="s">
        <v>528</v>
      </c>
      <c r="E60" s="16" t="s">
        <v>529</v>
      </c>
      <c r="F60" s="16" t="s">
        <v>389</v>
      </c>
      <c r="G60" s="16" t="s">
        <v>676</v>
      </c>
      <c r="I60" s="16" t="str" cm="1">
        <f t="array" ref="I60">INDEX(_xlfn.TEXTSPLIT($D60,"/"),2)</f>
        <v>GFOOT</v>
      </c>
      <c r="J60" s="16" t="str" cm="1">
        <f t="array" ref="J60">INDEX(_xlfn.TEXTSPLIT($D60,"/"),3)</f>
        <v>10_日次</v>
      </c>
      <c r="K60" s="16" t="str" cm="1">
        <f t="array" ref="K60">INDEX(_xlfn.TEXTSPLIT($D60,"/"),4)</f>
        <v>N0100_02_日次</v>
      </c>
    </row>
    <row r="61" spans="1:11" x14ac:dyDescent="0.55000000000000004">
      <c r="A61" s="16" t="s">
        <v>666</v>
      </c>
      <c r="B61" s="16">
        <f t="shared" si="0"/>
        <v>59</v>
      </c>
      <c r="C61" s="16" t="s">
        <v>530</v>
      </c>
      <c r="D61" s="16" t="s">
        <v>531</v>
      </c>
      <c r="E61" s="16" t="s">
        <v>532</v>
      </c>
      <c r="F61" s="16" t="s">
        <v>389</v>
      </c>
      <c r="G61" s="16" t="s">
        <v>666</v>
      </c>
      <c r="I61" s="16" t="str" cm="1">
        <f t="array" ref="I61">INDEX(_xlfn.TEXTSPLIT($D61,"/"),2)</f>
        <v>GFOOT</v>
      </c>
      <c r="J61" s="16" t="str" cm="1">
        <f t="array" ref="J61">INDEX(_xlfn.TEXTSPLIT($D61,"/"),3)</f>
        <v>10_日次</v>
      </c>
      <c r="K61" s="16" t="str" cm="1">
        <f t="array" ref="K61">INDEX(_xlfn.TEXTSPLIT($D61,"/"),4)</f>
        <v>N0100_02_日次</v>
      </c>
    </row>
    <row r="62" spans="1:11" x14ac:dyDescent="0.55000000000000004">
      <c r="A62" s="16" t="s">
        <v>662</v>
      </c>
      <c r="B62" s="16">
        <f t="shared" si="0"/>
        <v>60</v>
      </c>
      <c r="C62" s="16" t="s">
        <v>533</v>
      </c>
      <c r="D62" s="16" t="s">
        <v>522</v>
      </c>
      <c r="E62" s="16" t="s">
        <v>534</v>
      </c>
      <c r="F62" s="16" t="s">
        <v>389</v>
      </c>
      <c r="G62" s="16" t="s">
        <v>662</v>
      </c>
      <c r="I62" s="16" t="str" cm="1">
        <f t="array" ref="I62">INDEX(_xlfn.TEXTSPLIT($D62,"/"),2)</f>
        <v>GFOOT</v>
      </c>
      <c r="J62" s="16" t="str" cm="1">
        <f t="array" ref="J62">INDEX(_xlfn.TEXTSPLIT($D62,"/"),3)</f>
        <v>10_日次</v>
      </c>
      <c r="K62" s="16" t="str" cm="1">
        <f t="array" ref="K62">INDEX(_xlfn.TEXTSPLIT($D62,"/"),4)</f>
        <v>N0100_02_日次</v>
      </c>
    </row>
    <row r="63" spans="1:11" x14ac:dyDescent="0.55000000000000004">
      <c r="A63" s="16" t="s">
        <v>663</v>
      </c>
      <c r="B63" s="16">
        <f t="shared" si="0"/>
        <v>61</v>
      </c>
      <c r="C63" s="16" t="s">
        <v>535</v>
      </c>
      <c r="D63" s="16" t="s">
        <v>536</v>
      </c>
      <c r="E63" s="16" t="s">
        <v>537</v>
      </c>
      <c r="F63" s="16" t="s">
        <v>389</v>
      </c>
      <c r="G63" s="16" t="s">
        <v>663</v>
      </c>
      <c r="I63" s="16" t="str" cm="1">
        <f t="array" ref="I63">INDEX(_xlfn.TEXTSPLIT($D63,"/"),2)</f>
        <v>GFOOT</v>
      </c>
      <c r="J63" s="16" t="str" cm="1">
        <f t="array" ref="J63">INDEX(_xlfn.TEXTSPLIT($D63,"/"),3)</f>
        <v>10_日次</v>
      </c>
      <c r="K63" s="16" t="str" cm="1">
        <f t="array" ref="K63">INDEX(_xlfn.TEXTSPLIT($D63,"/"),4)</f>
        <v>N2910_日次監視</v>
      </c>
    </row>
    <row r="64" spans="1:11" x14ac:dyDescent="0.55000000000000004">
      <c r="A64" s="16" t="s">
        <v>664</v>
      </c>
      <c r="B64" s="16">
        <f t="shared" si="0"/>
        <v>62</v>
      </c>
      <c r="C64" s="16" t="s">
        <v>538</v>
      </c>
      <c r="D64" s="16" t="s">
        <v>536</v>
      </c>
      <c r="E64" s="16" t="s">
        <v>539</v>
      </c>
      <c r="F64" s="16" t="s">
        <v>389</v>
      </c>
      <c r="G64" s="16" t="s">
        <v>664</v>
      </c>
      <c r="I64" s="16" t="str" cm="1">
        <f t="array" ref="I64">INDEX(_xlfn.TEXTSPLIT($D64,"/"),2)</f>
        <v>GFOOT</v>
      </c>
      <c r="J64" s="16" t="str" cm="1">
        <f t="array" ref="J64">INDEX(_xlfn.TEXTSPLIT($D64,"/"),3)</f>
        <v>10_日次</v>
      </c>
      <c r="K64" s="16" t="str" cm="1">
        <f t="array" ref="K64">INDEX(_xlfn.TEXTSPLIT($D64,"/"),4)</f>
        <v>N2910_日次監視</v>
      </c>
    </row>
    <row r="65" spans="1:11" x14ac:dyDescent="0.55000000000000004">
      <c r="A65" s="16" t="s">
        <v>678</v>
      </c>
      <c r="B65" s="16">
        <f t="shared" si="0"/>
        <v>63</v>
      </c>
      <c r="C65" s="16" t="s">
        <v>540</v>
      </c>
      <c r="D65" s="16" t="s">
        <v>536</v>
      </c>
      <c r="E65" s="16" t="s">
        <v>541</v>
      </c>
      <c r="F65" s="16" t="s">
        <v>389</v>
      </c>
      <c r="G65" s="16" t="s">
        <v>678</v>
      </c>
      <c r="I65" s="16" t="str" cm="1">
        <f t="array" ref="I65">INDEX(_xlfn.TEXTSPLIT($D65,"/"),2)</f>
        <v>GFOOT</v>
      </c>
      <c r="J65" s="16" t="str" cm="1">
        <f t="array" ref="J65">INDEX(_xlfn.TEXTSPLIT($D65,"/"),3)</f>
        <v>10_日次</v>
      </c>
      <c r="K65" s="16" t="str" cm="1">
        <f t="array" ref="K65">INDEX(_xlfn.TEXTSPLIT($D65,"/"),4)</f>
        <v>N2910_日次監視</v>
      </c>
    </row>
    <row r="66" spans="1:11" x14ac:dyDescent="0.55000000000000004">
      <c r="A66" s="16" t="s">
        <v>665</v>
      </c>
      <c r="B66" s="16">
        <f t="shared" si="0"/>
        <v>64</v>
      </c>
      <c r="C66" s="16" t="s">
        <v>542</v>
      </c>
      <c r="D66" s="16" t="s">
        <v>536</v>
      </c>
      <c r="E66" s="16" t="s">
        <v>543</v>
      </c>
      <c r="F66" s="16" t="s">
        <v>389</v>
      </c>
      <c r="G66" s="16" t="s">
        <v>665</v>
      </c>
      <c r="I66" s="16" t="str" cm="1">
        <f t="array" ref="I66">INDEX(_xlfn.TEXTSPLIT($D66,"/"),2)</f>
        <v>GFOOT</v>
      </c>
      <c r="J66" s="16" t="str" cm="1">
        <f t="array" ref="J66">INDEX(_xlfn.TEXTSPLIT($D66,"/"),3)</f>
        <v>10_日次</v>
      </c>
      <c r="K66" s="16" t="str" cm="1">
        <f t="array" ref="K66">INDEX(_xlfn.TEXTSPLIT($D66,"/"),4)</f>
        <v>N2910_日次監視</v>
      </c>
    </row>
    <row r="67" spans="1:11" x14ac:dyDescent="0.55000000000000004">
      <c r="A67" s="16" t="s">
        <v>691</v>
      </c>
      <c r="B67" s="16">
        <f t="shared" si="0"/>
        <v>65</v>
      </c>
      <c r="C67" s="16" t="s">
        <v>544</v>
      </c>
      <c r="D67" s="16" t="s">
        <v>536</v>
      </c>
      <c r="E67" s="16" t="s">
        <v>545</v>
      </c>
      <c r="F67" s="16" t="s">
        <v>389</v>
      </c>
      <c r="G67" s="16" t="s">
        <v>691</v>
      </c>
      <c r="I67" s="16" t="str" cm="1">
        <f t="array" ref="I67">INDEX(_xlfn.TEXTSPLIT($D67,"/"),2)</f>
        <v>GFOOT</v>
      </c>
      <c r="J67" s="16" t="str" cm="1">
        <f t="array" ref="J67">INDEX(_xlfn.TEXTSPLIT($D67,"/"),3)</f>
        <v>10_日次</v>
      </c>
      <c r="K67" s="16" t="str" cm="1">
        <f t="array" ref="K67">INDEX(_xlfn.TEXTSPLIT($D67,"/"),4)</f>
        <v>N2910_日次監視</v>
      </c>
    </row>
    <row r="68" spans="1:11" x14ac:dyDescent="0.55000000000000004">
      <c r="A68" s="16" t="s">
        <v>691</v>
      </c>
      <c r="B68" s="16">
        <f t="shared" ref="B68:B74" si="1">ROW()-2</f>
        <v>66</v>
      </c>
      <c r="C68" s="16" t="s">
        <v>546</v>
      </c>
      <c r="D68" s="16" t="s">
        <v>536</v>
      </c>
      <c r="E68" s="16" t="s">
        <v>547</v>
      </c>
      <c r="F68" s="16" t="s">
        <v>389</v>
      </c>
      <c r="G68" s="16" t="s">
        <v>691</v>
      </c>
      <c r="I68" s="16" t="str" cm="1">
        <f t="array" ref="I68">INDEX(_xlfn.TEXTSPLIT($D68,"/"),2)</f>
        <v>GFOOT</v>
      </c>
      <c r="J68" s="16" t="str" cm="1">
        <f t="array" ref="J68">INDEX(_xlfn.TEXTSPLIT($D68,"/"),3)</f>
        <v>10_日次</v>
      </c>
      <c r="K68" s="16" t="str" cm="1">
        <f t="array" ref="K68">INDEX(_xlfn.TEXTSPLIT($D68,"/"),4)</f>
        <v>N2910_日次監視</v>
      </c>
    </row>
    <row r="69" spans="1:11" x14ac:dyDescent="0.55000000000000004">
      <c r="A69" s="16" t="s">
        <v>638</v>
      </c>
      <c r="B69" s="16">
        <f t="shared" si="1"/>
        <v>67</v>
      </c>
      <c r="C69" s="16" t="s">
        <v>548</v>
      </c>
      <c r="D69" s="16" t="s">
        <v>536</v>
      </c>
      <c r="E69" s="16" t="s">
        <v>549</v>
      </c>
      <c r="F69" s="16" t="s">
        <v>389</v>
      </c>
      <c r="G69" s="16" t="s">
        <v>638</v>
      </c>
      <c r="I69" s="16" t="str" cm="1">
        <f t="array" ref="I69">INDEX(_xlfn.TEXTSPLIT($D69,"/"),2)</f>
        <v>GFOOT</v>
      </c>
      <c r="J69" s="16" t="str" cm="1">
        <f t="array" ref="J69">INDEX(_xlfn.TEXTSPLIT($D69,"/"),3)</f>
        <v>10_日次</v>
      </c>
      <c r="K69" s="16" t="str" cm="1">
        <f t="array" ref="K69">INDEX(_xlfn.TEXTSPLIT($D69,"/"),4)</f>
        <v>N2910_日次監視</v>
      </c>
    </row>
    <row r="70" spans="1:11" x14ac:dyDescent="0.55000000000000004">
      <c r="A70" s="16" t="s">
        <v>523</v>
      </c>
      <c r="B70" s="16">
        <f t="shared" si="1"/>
        <v>68</v>
      </c>
      <c r="C70" s="16" t="s">
        <v>550</v>
      </c>
      <c r="D70" s="16" t="s">
        <v>536</v>
      </c>
      <c r="E70" s="16" t="s">
        <v>551</v>
      </c>
      <c r="F70" s="16" t="s">
        <v>389</v>
      </c>
      <c r="G70" s="16" t="s">
        <v>523</v>
      </c>
      <c r="I70" s="16" t="str" cm="1">
        <f t="array" ref="I70">INDEX(_xlfn.TEXTSPLIT($D70,"/"),2)</f>
        <v>GFOOT</v>
      </c>
      <c r="J70" s="16" t="str" cm="1">
        <f t="array" ref="J70">INDEX(_xlfn.TEXTSPLIT($D70,"/"),3)</f>
        <v>10_日次</v>
      </c>
      <c r="K70" s="16" t="str" cm="1">
        <f t="array" ref="K70">INDEX(_xlfn.TEXTSPLIT($D70,"/"),4)</f>
        <v>N2910_日次監視</v>
      </c>
    </row>
    <row r="71" spans="1:11" x14ac:dyDescent="0.55000000000000004">
      <c r="A71" s="16" t="s">
        <v>680</v>
      </c>
      <c r="B71" s="16">
        <f t="shared" si="1"/>
        <v>69</v>
      </c>
      <c r="C71" s="16" t="s">
        <v>552</v>
      </c>
      <c r="D71" s="16" t="s">
        <v>536</v>
      </c>
      <c r="E71" s="16" t="s">
        <v>553</v>
      </c>
      <c r="F71" s="16" t="s">
        <v>389</v>
      </c>
      <c r="G71" s="16" t="s">
        <v>680</v>
      </c>
      <c r="I71" s="16" t="str" cm="1">
        <f t="array" ref="I71">INDEX(_xlfn.TEXTSPLIT($D71,"/"),2)</f>
        <v>GFOOT</v>
      </c>
      <c r="J71" s="16" t="str" cm="1">
        <f t="array" ref="J71">INDEX(_xlfn.TEXTSPLIT($D71,"/"),3)</f>
        <v>10_日次</v>
      </c>
      <c r="K71" s="16" t="str" cm="1">
        <f t="array" ref="K71">INDEX(_xlfn.TEXTSPLIT($D71,"/"),4)</f>
        <v>N2910_日次監視</v>
      </c>
    </row>
    <row r="72" spans="1:11" x14ac:dyDescent="0.55000000000000004">
      <c r="A72" s="16" t="s">
        <v>679</v>
      </c>
      <c r="B72" s="16">
        <f t="shared" si="1"/>
        <v>70</v>
      </c>
      <c r="C72" s="16" t="s">
        <v>554</v>
      </c>
      <c r="D72" s="16" t="s">
        <v>536</v>
      </c>
      <c r="E72" s="16" t="s">
        <v>555</v>
      </c>
      <c r="F72" s="16" t="s">
        <v>389</v>
      </c>
      <c r="G72" s="16" t="s">
        <v>679</v>
      </c>
      <c r="I72" s="16" t="str" cm="1">
        <f t="array" ref="I72">INDEX(_xlfn.TEXTSPLIT($D72,"/"),2)</f>
        <v>GFOOT</v>
      </c>
      <c r="J72" s="16" t="str" cm="1">
        <f t="array" ref="J72">INDEX(_xlfn.TEXTSPLIT($D72,"/"),3)</f>
        <v>10_日次</v>
      </c>
      <c r="K72" s="16" t="str" cm="1">
        <f t="array" ref="K72">INDEX(_xlfn.TEXTSPLIT($D72,"/"),4)</f>
        <v>N2910_日次監視</v>
      </c>
    </row>
    <row r="73" spans="1:11" x14ac:dyDescent="0.55000000000000004">
      <c r="A73" s="16" t="s">
        <v>681</v>
      </c>
      <c r="B73" s="16">
        <f t="shared" si="1"/>
        <v>71</v>
      </c>
      <c r="C73" s="16" t="s">
        <v>556</v>
      </c>
      <c r="D73" s="16" t="s">
        <v>536</v>
      </c>
      <c r="E73" s="16" t="s">
        <v>557</v>
      </c>
      <c r="F73" s="16" t="s">
        <v>389</v>
      </c>
      <c r="G73" s="16" t="s">
        <v>681</v>
      </c>
      <c r="I73" s="16" t="str" cm="1">
        <f t="array" ref="I73">INDEX(_xlfn.TEXTSPLIT($D73,"/"),2)</f>
        <v>GFOOT</v>
      </c>
      <c r="J73" s="16" t="str" cm="1">
        <f t="array" ref="J73">INDEX(_xlfn.TEXTSPLIT($D73,"/"),3)</f>
        <v>10_日次</v>
      </c>
      <c r="K73" s="16" t="str" cm="1">
        <f t="array" ref="K73">INDEX(_xlfn.TEXTSPLIT($D73,"/"),4)</f>
        <v>N2910_日次監視</v>
      </c>
    </row>
    <row r="74" spans="1:11" x14ac:dyDescent="0.55000000000000004">
      <c r="A74" s="16" t="s">
        <v>693</v>
      </c>
      <c r="B74" s="16">
        <f t="shared" si="1"/>
        <v>72</v>
      </c>
      <c r="C74" s="16" t="s">
        <v>558</v>
      </c>
      <c r="D74" s="16" t="s">
        <v>559</v>
      </c>
      <c r="E74" s="16" t="s">
        <v>560</v>
      </c>
      <c r="F74" s="16" t="s">
        <v>389</v>
      </c>
      <c r="G74" s="16" t="s">
        <v>693</v>
      </c>
      <c r="I74" s="16" t="str" cm="1">
        <f t="array" ref="I74">INDEX(_xlfn.TEXTSPLIT($D74,"/"),2)</f>
        <v>GFOOT</v>
      </c>
      <c r="J74" s="16" t="str" cm="1">
        <f t="array" ref="J74">INDEX(_xlfn.TEXTSPLIT($D74,"/"),3)</f>
        <v>10_日次</v>
      </c>
      <c r="K74" s="16" t="str" cm="1">
        <f t="array" ref="K74">INDEX(_xlfn.TEXTSPLIT($D74,"/"),4)</f>
        <v>N4010_JP1LOG</v>
      </c>
    </row>
    <row r="75" spans="1:11" x14ac:dyDescent="0.55000000000000004">
      <c r="C75" s="14" t="s">
        <v>561</v>
      </c>
      <c r="D75" s="15">
        <v>46199.794571759259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BCB0-6273-4213-A5CB-069CB057FBFE}">
  <sheetPr>
    <tabColor theme="1"/>
  </sheetPr>
  <dimension ref="A1:S49"/>
  <sheetViews>
    <sheetView showGridLines="0" zoomScale="85" zoomScaleNormal="85" workbookViewId="0">
      <pane xSplit="2" ySplit="2" topLeftCell="K3" activePane="bottomRight" state="frozen"/>
      <selection pane="topRight"/>
      <selection pane="bottomLeft"/>
      <selection pane="bottomRight"/>
    </sheetView>
  </sheetViews>
  <sheetFormatPr defaultColWidth="4.08203125" defaultRowHeight="15" x14ac:dyDescent="0.55000000000000004"/>
  <cols>
    <col min="1" max="1" width="4.08203125" style="14"/>
    <col min="2" max="2" width="34.83203125" style="14" bestFit="1" customWidth="1"/>
    <col min="3" max="3" width="81.33203125" style="14" bestFit="1" customWidth="1"/>
    <col min="4" max="4" width="58" style="14" bestFit="1" customWidth="1"/>
    <col min="5" max="5" width="13.83203125" style="14" bestFit="1" customWidth="1"/>
    <col min="6" max="6" width="10.83203125" style="14" bestFit="1" customWidth="1"/>
    <col min="7" max="8" width="10.83203125" style="14" customWidth="1"/>
    <col min="9" max="9" width="37" style="14" bestFit="1" customWidth="1"/>
    <col min="10" max="10" width="74.5" style="14" bestFit="1" customWidth="1"/>
    <col min="11" max="11" width="37.08203125" style="14" customWidth="1"/>
    <col min="12" max="12" width="6.75" style="14" bestFit="1" customWidth="1"/>
    <col min="13" max="13" width="15.58203125" style="14" bestFit="1" customWidth="1"/>
    <col min="14" max="14" width="8.58203125" style="14" bestFit="1" customWidth="1"/>
    <col min="15" max="15" width="30.58203125" style="14" bestFit="1" customWidth="1"/>
    <col min="16" max="16" width="4.08203125" style="14"/>
    <col min="17" max="17" width="15.58203125" style="14" bestFit="1" customWidth="1"/>
    <col min="18" max="18" width="8.58203125" style="14" bestFit="1" customWidth="1"/>
    <col min="19" max="19" width="30.58203125" style="14" bestFit="1" customWidth="1"/>
    <col min="20" max="16384" width="4.08203125" style="14"/>
  </cols>
  <sheetData>
    <row r="1" spans="1:19" ht="17.5" x14ac:dyDescent="0.55000000000000004">
      <c r="A1" s="9" t="s">
        <v>562</v>
      </c>
      <c r="C1" s="15">
        <v>46199.795717592591</v>
      </c>
      <c r="D1" s="14" t="s">
        <v>384</v>
      </c>
      <c r="E1" s="14" t="s">
        <v>385</v>
      </c>
      <c r="H1" s="86" t="s">
        <v>697</v>
      </c>
      <c r="I1" s="86"/>
      <c r="J1" s="86"/>
      <c r="M1" s="18" t="s">
        <v>762</v>
      </c>
      <c r="Q1" s="18" t="s">
        <v>763</v>
      </c>
    </row>
    <row r="2" spans="1:19" x14ac:dyDescent="0.55000000000000004">
      <c r="A2" s="21" t="s">
        <v>2</v>
      </c>
      <c r="B2" s="19" t="s">
        <v>4</v>
      </c>
      <c r="C2" s="19" t="s">
        <v>3</v>
      </c>
      <c r="D2" s="19" t="s">
        <v>5</v>
      </c>
      <c r="E2" s="19" t="s">
        <v>6</v>
      </c>
      <c r="F2" s="19" t="s">
        <v>692</v>
      </c>
      <c r="H2" s="20" t="s">
        <v>696</v>
      </c>
      <c r="I2" s="20" t="s">
        <v>4</v>
      </c>
      <c r="J2" s="20" t="s">
        <v>3</v>
      </c>
      <c r="K2" s="16" t="s">
        <v>700</v>
      </c>
      <c r="M2" s="18" t="s">
        <v>758</v>
      </c>
      <c r="N2" s="18" t="s">
        <v>759</v>
      </c>
      <c r="O2" s="18" t="s">
        <v>760</v>
      </c>
      <c r="Q2" s="18" t="s">
        <v>758</v>
      </c>
      <c r="R2" s="18" t="s">
        <v>759</v>
      </c>
      <c r="S2" s="18" t="s">
        <v>760</v>
      </c>
    </row>
    <row r="3" spans="1:19" x14ac:dyDescent="0.55000000000000004">
      <c r="A3" s="16">
        <f>ROW()-2</f>
        <v>1</v>
      </c>
      <c r="B3" s="16" t="s">
        <v>563</v>
      </c>
      <c r="C3" s="16" t="s">
        <v>564</v>
      </c>
      <c r="D3" s="16" t="s">
        <v>565</v>
      </c>
      <c r="E3" s="16" t="s">
        <v>566</v>
      </c>
      <c r="F3" s="16" t="s">
        <v>698</v>
      </c>
      <c r="H3" s="35" t="str">
        <f>IF(ISERROR(VLOOKUP(F3,'(参考)イベント受信待ち'!A:F,2,FALSE)),"該当無し",VLOOKUP(F3,'(参考)イベント受信待ち'!A:F,2,FALSE))</f>
        <v>該当無し</v>
      </c>
      <c r="I3" s="35" t="str">
        <f>IF(ISERROR(VLOOKUP(F3,'(参考)イベント受信待ち'!A:F,3,FALSE)),"該当無し",VLOOKUP(F3,'(参考)イベント受信待ち'!A:F,3,FALSE))</f>
        <v>該当無し</v>
      </c>
      <c r="J3" s="35" t="str">
        <f>IF(ISERROR(VLOOKUP(F3,'(参考)イベント受信待ち'!A:F,4,FALSE)),"該当無し",VLOOKUP(F3,'(参考)イベント受信待ち'!A:F,4,FALSE))</f>
        <v>該当無し</v>
      </c>
      <c r="K3" s="35"/>
      <c r="M3" s="16" t="str" cm="1">
        <f t="array" ref="M3">INDEX(_xlfn.TEXTSPLIT($C3,"/"),2)</f>
        <v>GFOOT</v>
      </c>
      <c r="N3" s="16" t="str" cm="1">
        <f t="array" ref="N3">INDEX(_xlfn.TEXTSPLIT($C3,"/"),3)</f>
        <v>10_日次</v>
      </c>
      <c r="O3" s="16" t="str" cm="1">
        <f t="array" ref="O3">INDEX(_xlfn.TEXTSPLIT($C3,"/"),4)</f>
        <v>01_HULFT</v>
      </c>
      <c r="Q3" s="16" t="str" cm="1">
        <f t="array" ref="Q3">IF(ISERROR(INDEX(_xlfn.TEXTSPLIT($J3,"/"),2)),"該当なし",INDEX(_xlfn.TEXTSPLIT($J3,"/"),2))</f>
        <v>該当なし</v>
      </c>
      <c r="R3" s="16" t="str" cm="1">
        <f t="array" ref="R3">IF(ISERROR(INDEX(_xlfn.TEXTSPLIT($J3,"/"),3)),"該当なし",INDEX(_xlfn.TEXTSPLIT($J3,"/"),3))</f>
        <v>該当なし</v>
      </c>
      <c r="S3" s="16" t="str" cm="1">
        <f t="array" ref="S3">IF(ISERROR(INDEX(_xlfn.TEXTSPLIT($J3,"/"),4)),"該当なし",INDEX(_xlfn.TEXTSPLIT($J3,"/"),4))</f>
        <v>該当なし</v>
      </c>
    </row>
    <row r="4" spans="1:19" x14ac:dyDescent="0.55000000000000004">
      <c r="A4" s="16">
        <f t="shared" ref="A4:A48" si="0">ROW()-2</f>
        <v>2</v>
      </c>
      <c r="B4" s="16" t="s">
        <v>567</v>
      </c>
      <c r="C4" s="16" t="s">
        <v>568</v>
      </c>
      <c r="D4" s="16" t="s">
        <v>569</v>
      </c>
      <c r="E4" s="16" t="s">
        <v>566</v>
      </c>
      <c r="F4" s="16" t="s">
        <v>660</v>
      </c>
      <c r="H4" s="35" t="str">
        <f>IF(ISERROR(VLOOKUP(F4,'(参考)イベント受信待ち'!A:F,2,FALSE)),"該当無し",VLOOKUP(F4,'(参考)イベント受信待ち'!A:F,2,FALSE))</f>
        <v>該当無し</v>
      </c>
      <c r="I4" s="35" t="str">
        <f>IF(ISERROR(VLOOKUP(F4,'(参考)イベント受信待ち'!A:F,3,FALSE)),"該当無し",VLOOKUP(F4,'(参考)イベント受信待ち'!A:F,3,FALSE))</f>
        <v>該当無し</v>
      </c>
      <c r="J4" s="35" t="str">
        <f>IF(ISERROR(VLOOKUP(F4,'(参考)イベント受信待ち'!A:F,4,FALSE)),"該当無し",VLOOKUP(F4,'(参考)イベント受信待ち'!A:F,4,FALSE))</f>
        <v>該当無し</v>
      </c>
      <c r="K4" s="35"/>
      <c r="M4" s="16" t="str" cm="1">
        <f t="array" ref="M4">INDEX(_xlfn.TEXTSPLIT($C4,"/"),2)</f>
        <v>GFOOT</v>
      </c>
      <c r="N4" s="16" t="str" cm="1">
        <f t="array" ref="N4">INDEX(_xlfn.TEXTSPLIT($C4,"/"),3)</f>
        <v>10_日次</v>
      </c>
      <c r="O4" s="16" t="str" cm="1">
        <f t="array" ref="O4">INDEX(_xlfn.TEXTSPLIT($C4,"/"),4)</f>
        <v>01_HULFT</v>
      </c>
      <c r="Q4" s="16" t="str" cm="1">
        <f t="array" ref="Q4">IF(ISERROR(INDEX(_xlfn.TEXTSPLIT($J4,"/"),2)),"該当なし",INDEX(_xlfn.TEXTSPLIT($J4,"/"),2))</f>
        <v>該当なし</v>
      </c>
      <c r="R4" s="16" t="str" cm="1">
        <f t="array" ref="R4">IF(ISERROR(INDEX(_xlfn.TEXTSPLIT($J4,"/"),3)),"該当なし",INDEX(_xlfn.TEXTSPLIT($J4,"/"),3))</f>
        <v>該当なし</v>
      </c>
      <c r="S4" s="16" t="str" cm="1">
        <f t="array" ref="S4">IF(ISERROR(INDEX(_xlfn.TEXTSPLIT($J4,"/"),4)),"該当なし",INDEX(_xlfn.TEXTSPLIT($J4,"/"),4))</f>
        <v>該当なし</v>
      </c>
    </row>
    <row r="5" spans="1:19" x14ac:dyDescent="0.55000000000000004">
      <c r="A5" s="16">
        <f t="shared" si="0"/>
        <v>3</v>
      </c>
      <c r="B5" s="16" t="s">
        <v>699</v>
      </c>
      <c r="C5" s="16" t="s">
        <v>570</v>
      </c>
      <c r="D5" s="16" t="s">
        <v>571</v>
      </c>
      <c r="E5" s="16" t="s">
        <v>566</v>
      </c>
      <c r="F5" s="16" t="s">
        <v>571</v>
      </c>
      <c r="H5" s="16">
        <f>IF(ISERROR(VLOOKUP(F5,'(参考)イベント受信待ち'!A:F,2,FALSE)),"該当無し",VLOOKUP(F5,'(参考)イベント受信待ち'!A:F,2,FALSE))</f>
        <v>32</v>
      </c>
      <c r="I5" s="16" t="str">
        <f>IF(ISERROR(VLOOKUP(F5,'(参考)イベント受信待ち'!A:F,3,FALSE)),"該当無し",VLOOKUP(F5,'(参考)イベント受信待ち'!A:F,3,FALSE))</f>
        <v>NLOG受信後処理_受_706</v>
      </c>
      <c r="J5" s="16" t="str">
        <f>IF(ISERROR(VLOOKUP(F5,'(参考)イベント受信待ち'!A:F,4,FALSE)),"該当無し",VLOOKUP(F5,'(参考)イベント受信待ち'!A:F,4,FALSE))</f>
        <v>/GFOOT/10_日次/10_DWH/01_NLOG受信後処理_Dr.Sum更新</v>
      </c>
      <c r="K5" s="16"/>
      <c r="M5" s="16" t="str" cm="1">
        <f t="array" ref="M5">INDEX(_xlfn.TEXTSPLIT($C5,"/"),2)</f>
        <v>GFOOT</v>
      </c>
      <c r="N5" s="16" t="str" cm="1">
        <f t="array" ref="N5">INDEX(_xlfn.TEXTSPLIT($C5,"/"),3)</f>
        <v>10_日次</v>
      </c>
      <c r="O5" s="16" t="str" cm="1">
        <f t="array" ref="O5">INDEX(_xlfn.TEXTSPLIT($C5,"/"),4)</f>
        <v>01_HULFT</v>
      </c>
      <c r="Q5" s="16" t="str" cm="1">
        <f t="array" ref="Q5">IF(ISERROR(INDEX(_xlfn.TEXTSPLIT($J5,"/"),2)),"該当なし",INDEX(_xlfn.TEXTSPLIT($J5,"/"),2))</f>
        <v>GFOOT</v>
      </c>
      <c r="R5" s="16" t="str" cm="1">
        <f t="array" ref="R5">IF(ISERROR(INDEX(_xlfn.TEXTSPLIT($J5,"/"),3)),"該当なし",INDEX(_xlfn.TEXTSPLIT($J5,"/"),3))</f>
        <v>10_日次</v>
      </c>
      <c r="S5" s="16" t="str" cm="1">
        <f t="array" ref="S5">IF(ISERROR(INDEX(_xlfn.TEXTSPLIT($J5,"/"),4)),"該当なし",INDEX(_xlfn.TEXTSPLIT($J5,"/"),4))</f>
        <v>10_DWH</v>
      </c>
    </row>
    <row r="6" spans="1:19" x14ac:dyDescent="0.55000000000000004">
      <c r="A6" s="16">
        <f t="shared" si="0"/>
        <v>4</v>
      </c>
      <c r="B6" s="16" t="s">
        <v>572</v>
      </c>
      <c r="C6" s="16" t="s">
        <v>573</v>
      </c>
      <c r="D6" s="16" t="s">
        <v>574</v>
      </c>
      <c r="E6" s="16" t="s">
        <v>566</v>
      </c>
      <c r="F6" s="16" t="s">
        <v>661</v>
      </c>
      <c r="H6" s="16">
        <f>IF(ISERROR(VLOOKUP(F6,'(参考)イベント受信待ち'!A:F,2,FALSE)),"該当無し",VLOOKUP(F6,'(参考)イベント受信待ち'!A:F,2,FALSE))</f>
        <v>57</v>
      </c>
      <c r="I6" s="16" t="str">
        <f>IF(ISERROR(VLOOKUP(F6,'(参考)イベント受信待ち'!A:F,3,FALSE)),"該当無し",VLOOKUP(F6,'(参考)イベント受信待ち'!A:F,3,FALSE))</f>
        <v>受信確認_7FFFA003</v>
      </c>
      <c r="J6" s="16" t="str">
        <f>IF(ISERROR(VLOOKUP(F6,'(参考)イベント受信待ち'!A:F,4,FALSE)),"該当無し",VLOOKUP(F6,'(参考)イベント受信待ち'!A:F,4,FALSE))</f>
        <v>/GFOOT/10_日次/N0100_02_日次/受信_売上・店舗BO・WEB申請/AEONコンセ</v>
      </c>
      <c r="K6" s="16"/>
      <c r="M6" s="16" t="str" cm="1">
        <f t="array" ref="M6">INDEX(_xlfn.TEXTSPLIT($C6,"/"),2)</f>
        <v>GFOOT</v>
      </c>
      <c r="N6" s="16" t="str" cm="1">
        <f t="array" ref="N6">INDEX(_xlfn.TEXTSPLIT($C6,"/"),3)</f>
        <v>10_日次</v>
      </c>
      <c r="O6" s="16" t="str" cm="1">
        <f t="array" ref="O6">INDEX(_xlfn.TEXTSPLIT($C6,"/"),4)</f>
        <v>01_HULFT</v>
      </c>
      <c r="Q6" s="16" t="str" cm="1">
        <f t="array" ref="Q6">IF(ISERROR(INDEX(_xlfn.TEXTSPLIT($J6,"/"),2)),"該当なし",INDEX(_xlfn.TEXTSPLIT($J6,"/"),2))</f>
        <v>GFOOT</v>
      </c>
      <c r="R6" s="16" t="str" cm="1">
        <f t="array" ref="R6">IF(ISERROR(INDEX(_xlfn.TEXTSPLIT($J6,"/"),3)),"該当なし",INDEX(_xlfn.TEXTSPLIT($J6,"/"),3))</f>
        <v>10_日次</v>
      </c>
      <c r="S6" s="16" t="str" cm="1">
        <f t="array" ref="S6">IF(ISERROR(INDEX(_xlfn.TEXTSPLIT($J6,"/"),4)),"該当なし",INDEX(_xlfn.TEXTSPLIT($J6,"/"),4))</f>
        <v>N0100_02_日次</v>
      </c>
    </row>
    <row r="7" spans="1:19" x14ac:dyDescent="0.55000000000000004">
      <c r="A7" s="16">
        <f t="shared" si="0"/>
        <v>5</v>
      </c>
      <c r="B7" s="16" t="s">
        <v>575</v>
      </c>
      <c r="C7" s="16" t="s">
        <v>576</v>
      </c>
      <c r="D7" s="16" t="s">
        <v>577</v>
      </c>
      <c r="E7" s="16" t="s">
        <v>566</v>
      </c>
      <c r="F7" s="16" t="s">
        <v>662</v>
      </c>
      <c r="H7" s="16">
        <f>IF(ISERROR(VLOOKUP(F7,'(参考)イベント受信待ち'!A:F,2,FALSE)),"該当無し",VLOOKUP(F7,'(参考)イベント受信待ち'!A:F,2,FALSE))</f>
        <v>60</v>
      </c>
      <c r="I7" s="16" t="str">
        <f>IF(ISERROR(VLOOKUP(F7,'(参考)イベント受信待ち'!A:F,3,FALSE)),"該当無し",VLOOKUP(F7,'(参考)イベント受信待ち'!A:F,3,FALSE))</f>
        <v>発注停止再開_受信_7FFFB501</v>
      </c>
      <c r="J7" s="16" t="str">
        <f>IF(ISERROR(VLOOKUP(F7,'(参考)イベント受信待ち'!A:F,4,FALSE)),"該当無し",VLOOKUP(F7,'(参考)イベント受信待ち'!A:F,4,FALSE))</f>
        <v>/GFOOT/10_日次/N0100_02_日次</v>
      </c>
      <c r="K7" s="16"/>
      <c r="M7" s="16" t="str" cm="1">
        <f t="array" ref="M7">INDEX(_xlfn.TEXTSPLIT($C7,"/"),2)</f>
        <v>GFOOT</v>
      </c>
      <c r="N7" s="16" t="str" cm="1">
        <f t="array" ref="N7">INDEX(_xlfn.TEXTSPLIT($C7,"/"),3)</f>
        <v>10_日次</v>
      </c>
      <c r="O7" s="16" t="str" cm="1">
        <f t="array" ref="O7">INDEX(_xlfn.TEXTSPLIT($C7,"/"),4)</f>
        <v>01_HULFT</v>
      </c>
      <c r="Q7" s="16" t="str" cm="1">
        <f t="array" ref="Q7">IF(ISERROR(INDEX(_xlfn.TEXTSPLIT($J7,"/"),2)),"該当なし",INDEX(_xlfn.TEXTSPLIT($J7,"/"),2))</f>
        <v>GFOOT</v>
      </c>
      <c r="R7" s="16" t="str" cm="1">
        <f t="array" ref="R7">IF(ISERROR(INDEX(_xlfn.TEXTSPLIT($J7,"/"),3)),"該当なし",INDEX(_xlfn.TEXTSPLIT($J7,"/"),3))</f>
        <v>10_日次</v>
      </c>
      <c r="S7" s="16" t="str" cm="1">
        <f t="array" ref="S7">IF(ISERROR(INDEX(_xlfn.TEXTSPLIT($J7,"/"),4)),"該当なし",INDEX(_xlfn.TEXTSPLIT($J7,"/"),4))</f>
        <v>N0100_02_日次</v>
      </c>
    </row>
    <row r="8" spans="1:19" x14ac:dyDescent="0.55000000000000004">
      <c r="A8" s="16">
        <f t="shared" si="0"/>
        <v>6</v>
      </c>
      <c r="B8" s="16" t="s">
        <v>535</v>
      </c>
      <c r="C8" s="16" t="s">
        <v>387</v>
      </c>
      <c r="D8" s="16" t="s">
        <v>578</v>
      </c>
      <c r="E8" s="16" t="s">
        <v>566</v>
      </c>
      <c r="F8" s="16" t="s">
        <v>663</v>
      </c>
      <c r="H8" s="16">
        <f>IF(ISERROR(VLOOKUP(F8,'(参考)イベント受信待ち'!A:F,2,FALSE)),"該当無し",VLOOKUP(F8,'(参考)イベント受信待ち'!A:F,2,FALSE))</f>
        <v>61</v>
      </c>
      <c r="I8" s="16" t="str">
        <f>IF(ISERROR(VLOOKUP(F8,'(参考)イベント受信待ち'!A:F,3,FALSE)),"該当無し",VLOOKUP(F8,'(参考)イベント受信待ち'!A:F,3,FALSE))</f>
        <v>ANPLU_作成完了_7FFFA512</v>
      </c>
      <c r="J8" s="16" t="str">
        <f>IF(ISERROR(VLOOKUP(F8,'(参考)イベント受信待ち'!A:F,4,FALSE)),"該当無し",VLOOKUP(F8,'(参考)イベント受信待ち'!A:F,4,FALSE))</f>
        <v>/GFOOT/10_日次/N2910_日次監視</v>
      </c>
      <c r="K8" s="16"/>
      <c r="M8" s="16" t="str" cm="1">
        <f t="array" ref="M8">INDEX(_xlfn.TEXTSPLIT($C8,"/"),2)</f>
        <v>GFOOT</v>
      </c>
      <c r="N8" s="16" t="str" cm="1">
        <f t="array" ref="N8">INDEX(_xlfn.TEXTSPLIT($C8,"/"),3)</f>
        <v>10_日次</v>
      </c>
      <c r="O8" s="16" t="str" cm="1">
        <f t="array" ref="O8">INDEX(_xlfn.TEXTSPLIT($C8,"/"),4)</f>
        <v>01_HULFT</v>
      </c>
      <c r="Q8" s="16" t="str" cm="1">
        <f t="array" ref="Q8">IF(ISERROR(INDEX(_xlfn.TEXTSPLIT($J8,"/"),2)),"該当なし",INDEX(_xlfn.TEXTSPLIT($J8,"/"),2))</f>
        <v>GFOOT</v>
      </c>
      <c r="R8" s="16" t="str" cm="1">
        <f t="array" ref="R8">IF(ISERROR(INDEX(_xlfn.TEXTSPLIT($J8,"/"),3)),"該当なし",INDEX(_xlfn.TEXTSPLIT($J8,"/"),3))</f>
        <v>10_日次</v>
      </c>
      <c r="S8" s="16" t="str" cm="1">
        <f t="array" ref="S8">IF(ISERROR(INDEX(_xlfn.TEXTSPLIT($J8,"/"),4)),"該当なし",INDEX(_xlfn.TEXTSPLIT($J8,"/"),4))</f>
        <v>N2910_日次監視</v>
      </c>
    </row>
    <row r="9" spans="1:19" x14ac:dyDescent="0.55000000000000004">
      <c r="A9" s="16">
        <f t="shared" si="0"/>
        <v>7</v>
      </c>
      <c r="B9" s="16" t="s">
        <v>579</v>
      </c>
      <c r="C9" s="16" t="s">
        <v>387</v>
      </c>
      <c r="D9" s="16" t="s">
        <v>580</v>
      </c>
      <c r="E9" s="16" t="s">
        <v>566</v>
      </c>
      <c r="F9" s="16" t="s">
        <v>664</v>
      </c>
      <c r="H9" s="16">
        <f>IF(ISERROR(VLOOKUP(F9,'(参考)イベント受信待ち'!A:F,2,FALSE)),"該当無し",VLOOKUP(F9,'(参考)イベント受信待ち'!A:F,2,FALSE))</f>
        <v>62</v>
      </c>
      <c r="I9" s="16" t="str">
        <f>IF(ISERROR(VLOOKUP(F9,'(参考)イベント受信待ち'!A:F,3,FALSE)),"該当無し",VLOOKUP(F9,'(参考)イベント受信待ち'!A:F,3,FALSE))</f>
        <v>ANPLU_作成完了_7FFFA513</v>
      </c>
      <c r="J9" s="16" t="str">
        <f>IF(ISERROR(VLOOKUP(F9,'(参考)イベント受信待ち'!A:F,4,FALSE)),"該当無し",VLOOKUP(F9,'(参考)イベント受信待ち'!A:F,4,FALSE))</f>
        <v>/GFOOT/10_日次/N2910_日次監視</v>
      </c>
      <c r="K9" s="16"/>
      <c r="M9" s="16" t="str" cm="1">
        <f t="array" ref="M9">INDEX(_xlfn.TEXTSPLIT($C9,"/"),2)</f>
        <v>GFOOT</v>
      </c>
      <c r="N9" s="16" t="str" cm="1">
        <f t="array" ref="N9">INDEX(_xlfn.TEXTSPLIT($C9,"/"),3)</f>
        <v>10_日次</v>
      </c>
      <c r="O9" s="16" t="str" cm="1">
        <f t="array" ref="O9">INDEX(_xlfn.TEXTSPLIT($C9,"/"),4)</f>
        <v>01_HULFT</v>
      </c>
      <c r="Q9" s="16" t="str" cm="1">
        <f t="array" ref="Q9">IF(ISERROR(INDEX(_xlfn.TEXTSPLIT($J9,"/"),2)),"該当なし",INDEX(_xlfn.TEXTSPLIT($J9,"/"),2))</f>
        <v>GFOOT</v>
      </c>
      <c r="R9" s="16" t="str" cm="1">
        <f t="array" ref="R9">IF(ISERROR(INDEX(_xlfn.TEXTSPLIT($J9,"/"),3)),"該当なし",INDEX(_xlfn.TEXTSPLIT($J9,"/"),3))</f>
        <v>10_日次</v>
      </c>
      <c r="S9" s="16" t="str" cm="1">
        <f t="array" ref="S9">IF(ISERROR(INDEX(_xlfn.TEXTSPLIT($J9,"/"),4)),"該当なし",INDEX(_xlfn.TEXTSPLIT($J9,"/"),4))</f>
        <v>N2910_日次監視</v>
      </c>
    </row>
    <row r="10" spans="1:19" x14ac:dyDescent="0.55000000000000004">
      <c r="A10" s="16">
        <f t="shared" si="0"/>
        <v>8</v>
      </c>
      <c r="B10" s="16" t="s">
        <v>581</v>
      </c>
      <c r="C10" s="16" t="s">
        <v>410</v>
      </c>
      <c r="D10" s="16" t="s">
        <v>582</v>
      </c>
      <c r="E10" s="16" t="s">
        <v>566</v>
      </c>
      <c r="F10" s="16" t="s">
        <v>665</v>
      </c>
      <c r="H10" s="16">
        <f>IF(ISERROR(VLOOKUP(F10,'(参考)イベント受信待ち'!A:F,2,FALSE)),"該当無し",VLOOKUP(F10,'(参考)イベント受信待ち'!A:F,2,FALSE))</f>
        <v>64</v>
      </c>
      <c r="I10" s="16" t="str">
        <f>IF(ISERROR(VLOOKUP(F10,'(参考)イベント受信待ち'!A:F,3,FALSE)),"該当無し",VLOOKUP(F10,'(参考)イベント受信待ち'!A:F,3,FALSE))</f>
        <v>ASM発注検収返品データ_7FFFA710</v>
      </c>
      <c r="J10" s="16" t="str">
        <f>IF(ISERROR(VLOOKUP(F10,'(参考)イベント受信待ち'!A:F,4,FALSE)),"該当無し",VLOOKUP(F10,'(参考)イベント受信待ち'!A:F,4,FALSE))</f>
        <v>/GFOOT/10_日次/N2910_日次監視</v>
      </c>
      <c r="K10" s="16"/>
      <c r="M10" s="16" t="str" cm="1">
        <f t="array" ref="M10">INDEX(_xlfn.TEXTSPLIT($C10,"/"),2)</f>
        <v>GFOOT</v>
      </c>
      <c r="N10" s="16" t="str" cm="1">
        <f t="array" ref="N10">INDEX(_xlfn.TEXTSPLIT($C10,"/"),3)</f>
        <v>10_日次</v>
      </c>
      <c r="O10" s="16" t="str" cm="1">
        <f t="array" ref="O10">INDEX(_xlfn.TEXTSPLIT($C10,"/"),4)</f>
        <v>01_HULFT</v>
      </c>
      <c r="Q10" s="16" t="str" cm="1">
        <f t="array" ref="Q10">IF(ISERROR(INDEX(_xlfn.TEXTSPLIT($J10,"/"),2)),"該当なし",INDEX(_xlfn.TEXTSPLIT($J10,"/"),2))</f>
        <v>GFOOT</v>
      </c>
      <c r="R10" s="16" t="str" cm="1">
        <f t="array" ref="R10">IF(ISERROR(INDEX(_xlfn.TEXTSPLIT($J10,"/"),3)),"該当なし",INDEX(_xlfn.TEXTSPLIT($J10,"/"),3))</f>
        <v>10_日次</v>
      </c>
      <c r="S10" s="16" t="str" cm="1">
        <f t="array" ref="S10">IF(ISERROR(INDEX(_xlfn.TEXTSPLIT($J10,"/"),4)),"該当なし",INDEX(_xlfn.TEXTSPLIT($J10,"/"),4))</f>
        <v>N2910_日次監視</v>
      </c>
    </row>
    <row r="11" spans="1:19" x14ac:dyDescent="0.55000000000000004">
      <c r="A11" s="16">
        <f t="shared" si="0"/>
        <v>9</v>
      </c>
      <c r="B11" s="16" t="s">
        <v>566</v>
      </c>
      <c r="C11" s="16" t="s">
        <v>583</v>
      </c>
      <c r="D11" s="16" t="s">
        <v>584</v>
      </c>
      <c r="E11" s="16" t="s">
        <v>566</v>
      </c>
      <c r="F11" s="16" t="s">
        <v>666</v>
      </c>
      <c r="H11" s="16">
        <f>IF(ISERROR(VLOOKUP(F11,'(参考)イベント受信待ち'!A:F,2,FALSE)),"該当無し",VLOOKUP(F11,'(参考)イベント受信待ち'!A:F,2,FALSE))</f>
        <v>59</v>
      </c>
      <c r="I11" s="16" t="str">
        <f>IF(ISERROR(VLOOKUP(F11,'(参考)イベント受信待ち'!A:F,3,FALSE)),"該当無し",VLOOKUP(F11,'(参考)イベント受信待ち'!A:F,3,FALSE))</f>
        <v>EC_COM受信完了_7FFFA501</v>
      </c>
      <c r="J11" s="16" t="str">
        <f>IF(ISERROR(VLOOKUP(F11,'(参考)イベント受信待ち'!A:F,4,FALSE)),"該当無し",VLOOKUP(F11,'(参考)イベント受信待ち'!A:F,4,FALSE))</f>
        <v>/GFOOT/10_日次/N0100_02_日次/受信_売上・店舗BO・WEB申請/EC</v>
      </c>
      <c r="K11" s="16"/>
      <c r="M11" s="16" t="str" cm="1">
        <f t="array" ref="M11">INDEX(_xlfn.TEXTSPLIT($C11,"/"),2)</f>
        <v>GFOOT</v>
      </c>
      <c r="N11" s="16" t="str" cm="1">
        <f t="array" ref="N11">INDEX(_xlfn.TEXTSPLIT($C11,"/"),3)</f>
        <v>10_日次</v>
      </c>
      <c r="O11" s="16" t="str" cm="1">
        <f t="array" ref="O11">INDEX(_xlfn.TEXTSPLIT($C11,"/"),4)</f>
        <v>03_EC</v>
      </c>
      <c r="Q11" s="16" t="str" cm="1">
        <f t="array" ref="Q11">IF(ISERROR(INDEX(_xlfn.TEXTSPLIT($J11,"/"),2)),"該当なし",INDEX(_xlfn.TEXTSPLIT($J11,"/"),2))</f>
        <v>GFOOT</v>
      </c>
      <c r="R11" s="16" t="str" cm="1">
        <f t="array" ref="R11">IF(ISERROR(INDEX(_xlfn.TEXTSPLIT($J11,"/"),3)),"該当なし",INDEX(_xlfn.TEXTSPLIT($J11,"/"),3))</f>
        <v>10_日次</v>
      </c>
      <c r="S11" s="16" t="str" cm="1">
        <f t="array" ref="S11">IF(ISERROR(INDEX(_xlfn.TEXTSPLIT($J11,"/"),4)),"該当なし",INDEX(_xlfn.TEXTSPLIT($J11,"/"),4))</f>
        <v>N0100_02_日次</v>
      </c>
    </row>
    <row r="12" spans="1:19" x14ac:dyDescent="0.55000000000000004">
      <c r="A12" s="16">
        <f t="shared" si="0"/>
        <v>10</v>
      </c>
      <c r="B12" s="16" t="s">
        <v>486</v>
      </c>
      <c r="C12" s="16" t="s">
        <v>585</v>
      </c>
      <c r="D12" s="16" t="s">
        <v>586</v>
      </c>
      <c r="E12" s="16" t="s">
        <v>566</v>
      </c>
      <c r="F12" s="16" t="s">
        <v>667</v>
      </c>
      <c r="H12" s="16">
        <f>IF(ISERROR(VLOOKUP(F12,'(参考)イベント受信待ち'!A:F,2,FALSE)),"該当無し",VLOOKUP(F12,'(参考)イベント受信待ち'!A:F,2,FALSE))</f>
        <v>42</v>
      </c>
      <c r="I12" s="16" t="str">
        <f>IF(ISERROR(VLOOKUP(F12,'(参考)イベント受信待ち'!A:F,3,FALSE)),"該当無し",VLOOKUP(F12,'(参考)イベント受信待ち'!A:F,3,FALSE))</f>
        <v>INTR_T作成完了</v>
      </c>
      <c r="J12" s="16" t="str">
        <f>IF(ISERROR(VLOOKUP(F12,'(参考)イベント受信待ち'!A:F,4,FALSE)),"該当無し",VLOOKUP(F12,'(参考)イベント受信待ち'!A:F,4,FALSE))</f>
        <v>/GFOOT/10_日次/10_NAIS/11_NAIS_実績データ送信</v>
      </c>
      <c r="K12" s="16"/>
      <c r="M12" s="16" t="str" cm="1">
        <f t="array" ref="M12">INDEX(_xlfn.TEXTSPLIT($C12,"/"),2)</f>
        <v>GFOOT</v>
      </c>
      <c r="N12" s="16" t="str" cm="1">
        <f t="array" ref="N12">INDEX(_xlfn.TEXTSPLIT($C12,"/"),3)</f>
        <v>10_日次</v>
      </c>
      <c r="O12" s="16" t="str" cm="1">
        <f t="array" ref="O12">INDEX(_xlfn.TEXTSPLIT($C12,"/"),4)</f>
        <v>05_棚卸</v>
      </c>
      <c r="Q12" s="16" t="str" cm="1">
        <f t="array" ref="Q12">IF(ISERROR(INDEX(_xlfn.TEXTSPLIT($J12,"/"),2)),"該当なし",INDEX(_xlfn.TEXTSPLIT($J12,"/"),2))</f>
        <v>GFOOT</v>
      </c>
      <c r="R12" s="16" t="str" cm="1">
        <f t="array" ref="R12">IF(ISERROR(INDEX(_xlfn.TEXTSPLIT($J12,"/"),3)),"該当なし",INDEX(_xlfn.TEXTSPLIT($J12,"/"),3))</f>
        <v>10_日次</v>
      </c>
      <c r="S12" s="16" t="str" cm="1">
        <f t="array" ref="S12">IF(ISERROR(INDEX(_xlfn.TEXTSPLIT($J12,"/"),4)),"該当なし",INDEX(_xlfn.TEXTSPLIT($J12,"/"),4))</f>
        <v>10_NAIS</v>
      </c>
    </row>
    <row r="13" spans="1:19" x14ac:dyDescent="0.55000000000000004">
      <c r="A13" s="16">
        <f t="shared" si="0"/>
        <v>11</v>
      </c>
      <c r="B13" s="16" t="s">
        <v>587</v>
      </c>
      <c r="C13" s="16" t="s">
        <v>588</v>
      </c>
      <c r="D13" s="16" t="s">
        <v>589</v>
      </c>
      <c r="E13" s="16" t="s">
        <v>566</v>
      </c>
      <c r="F13" s="16">
        <v>583</v>
      </c>
      <c r="H13" s="16">
        <f>IF(ISERROR(VLOOKUP(F13,'(参考)イベント受信待ち'!A:F,2,FALSE)),"該当無し",VLOOKUP(F13,'(参考)イベント受信待ち'!A:F,2,FALSE))</f>
        <v>27</v>
      </c>
      <c r="I13" s="16" t="str">
        <f>IF(ISERROR(VLOOKUP(F13,'(参考)イベント受信待ち'!A:F,3,FALSE)),"該当無し",VLOOKUP(F13,'(参考)イベント受信待ち'!A:F,3,FALSE))</f>
        <v>発注データ受信_受583</v>
      </c>
      <c r="J13" s="16" t="str">
        <f>IF(ISERROR(VLOOKUP(F13,'(参考)イベント受信待ち'!A:F,4,FALSE)),"該当無し",VLOOKUP(F13,'(参考)イベント受信待ち'!A:F,4,FALSE))</f>
        <v>/GFOOT/10_日次/08_商品供給/11_商品供給_発注データ受信</v>
      </c>
      <c r="K13" s="16"/>
      <c r="M13" s="16" t="str" cm="1">
        <f t="array" ref="M13">INDEX(_xlfn.TEXTSPLIT($C13,"/"),2)</f>
        <v>GFOOT</v>
      </c>
      <c r="N13" s="16" t="str" cm="1">
        <f t="array" ref="N13">INDEX(_xlfn.TEXTSPLIT($C13,"/"),3)</f>
        <v>10_日次</v>
      </c>
      <c r="O13" s="16" t="str" cm="1">
        <f t="array" ref="O13">INDEX(_xlfn.TEXTSPLIT($C13,"/"),4)</f>
        <v>08_商品供給</v>
      </c>
      <c r="Q13" s="16" t="str" cm="1">
        <f t="array" ref="Q13">IF(ISERROR(INDEX(_xlfn.TEXTSPLIT($J13,"/"),2)),"該当なし",INDEX(_xlfn.TEXTSPLIT($J13,"/"),2))</f>
        <v>GFOOT</v>
      </c>
      <c r="R13" s="16" t="str" cm="1">
        <f t="array" ref="R13">IF(ISERROR(INDEX(_xlfn.TEXTSPLIT($J13,"/"),3)),"該当なし",INDEX(_xlfn.TEXTSPLIT($J13,"/"),3))</f>
        <v>10_日次</v>
      </c>
      <c r="S13" s="16" t="str" cm="1">
        <f t="array" ref="S13">IF(ISERROR(INDEX(_xlfn.TEXTSPLIT($J13,"/"),4)),"該当なし",INDEX(_xlfn.TEXTSPLIT($J13,"/"),4))</f>
        <v>08_商品供給</v>
      </c>
    </row>
    <row r="14" spans="1:19" x14ac:dyDescent="0.55000000000000004">
      <c r="A14" s="16">
        <f t="shared" si="0"/>
        <v>12</v>
      </c>
      <c r="B14" s="16" t="s">
        <v>590</v>
      </c>
      <c r="C14" s="16" t="s">
        <v>591</v>
      </c>
      <c r="D14" s="16" t="s">
        <v>592</v>
      </c>
      <c r="E14" s="16" t="s">
        <v>566</v>
      </c>
      <c r="F14" s="16">
        <v>584</v>
      </c>
      <c r="H14" s="16">
        <f>IF(ISERROR(VLOOKUP(F14,'(参考)イベント受信待ち'!A:F,2,FALSE)),"該当無し",VLOOKUP(F14,'(参考)イベント受信待ち'!A:F,2,FALSE))</f>
        <v>26</v>
      </c>
      <c r="I14" s="16" t="str">
        <f>IF(ISERROR(VLOOKUP(F14,'(参考)イベント受信待ち'!A:F,3,FALSE)),"該当無し",VLOOKUP(F14,'(参考)イベント受信待ち'!A:F,3,FALSE))</f>
        <v>受領データ受信_受584</v>
      </c>
      <c r="J14" s="16" t="str">
        <f>IF(ISERROR(VLOOKUP(F14,'(参考)イベント受信待ち'!A:F,4,FALSE)),"該当無し",VLOOKUP(F14,'(参考)イベント受信待ち'!A:F,4,FALSE))</f>
        <v>/GFOOT/10_日次/08_商品供給/11_商品供給_発注データ受信</v>
      </c>
      <c r="K14" s="16"/>
      <c r="M14" s="16" t="str" cm="1">
        <f t="array" ref="M14">INDEX(_xlfn.TEXTSPLIT($C14,"/"),2)</f>
        <v>GFOOT</v>
      </c>
      <c r="N14" s="16" t="str" cm="1">
        <f t="array" ref="N14">INDEX(_xlfn.TEXTSPLIT($C14,"/"),3)</f>
        <v>10_日次</v>
      </c>
      <c r="O14" s="16" t="str" cm="1">
        <f t="array" ref="O14">INDEX(_xlfn.TEXTSPLIT($C14,"/"),4)</f>
        <v>08_商品供給</v>
      </c>
      <c r="Q14" s="16" t="str" cm="1">
        <f t="array" ref="Q14">IF(ISERROR(INDEX(_xlfn.TEXTSPLIT($J14,"/"),2)),"該当なし",INDEX(_xlfn.TEXTSPLIT($J14,"/"),2))</f>
        <v>GFOOT</v>
      </c>
      <c r="R14" s="16" t="str" cm="1">
        <f t="array" ref="R14">IF(ISERROR(INDEX(_xlfn.TEXTSPLIT($J14,"/"),3)),"該当なし",INDEX(_xlfn.TEXTSPLIT($J14,"/"),3))</f>
        <v>10_日次</v>
      </c>
      <c r="S14" s="16" t="str" cm="1">
        <f t="array" ref="S14">IF(ISERROR(INDEX(_xlfn.TEXTSPLIT($J14,"/"),4)),"該当なし",INDEX(_xlfn.TEXTSPLIT($J14,"/"),4))</f>
        <v>08_商品供給</v>
      </c>
    </row>
    <row r="15" spans="1:19" x14ac:dyDescent="0.55000000000000004">
      <c r="A15" s="16">
        <f t="shared" si="0"/>
        <v>13</v>
      </c>
      <c r="B15" s="16" t="s">
        <v>590</v>
      </c>
      <c r="C15" s="16" t="s">
        <v>446</v>
      </c>
      <c r="D15" s="16" t="s">
        <v>593</v>
      </c>
      <c r="E15" s="16" t="s">
        <v>566</v>
      </c>
      <c r="F15" s="16">
        <v>584</v>
      </c>
      <c r="H15" s="16">
        <f>IF(ISERROR(VLOOKUP(F15,'(参考)イベント受信待ち'!A:F,2,FALSE)),"該当無し",VLOOKUP(F15,'(参考)イベント受信待ち'!A:F,2,FALSE))</f>
        <v>26</v>
      </c>
      <c r="I15" s="16" t="str">
        <f>IF(ISERROR(VLOOKUP(F15,'(参考)イベント受信待ち'!A:F,3,FALSE)),"該当無し",VLOOKUP(F15,'(参考)イベント受信待ち'!A:F,3,FALSE))</f>
        <v>受領データ受信_受584</v>
      </c>
      <c r="J15" s="16" t="str">
        <f>IF(ISERROR(VLOOKUP(F15,'(参考)イベント受信待ち'!A:F,4,FALSE)),"該当無し",VLOOKUP(F15,'(参考)イベント受信待ち'!A:F,4,FALSE))</f>
        <v>/GFOOT/10_日次/08_商品供給/11_商品供給_発注データ受信</v>
      </c>
      <c r="K15" s="16"/>
      <c r="M15" s="16" t="str" cm="1">
        <f t="array" ref="M15">INDEX(_xlfn.TEXTSPLIT($C15,"/"),2)</f>
        <v>GFOOT</v>
      </c>
      <c r="N15" s="16" t="str" cm="1">
        <f t="array" ref="N15">INDEX(_xlfn.TEXTSPLIT($C15,"/"),3)</f>
        <v>10_日次</v>
      </c>
      <c r="O15" s="16" t="str" cm="1">
        <f t="array" ref="O15">INDEX(_xlfn.TEXTSPLIT($C15,"/"),4)</f>
        <v>08_商品供給</v>
      </c>
      <c r="Q15" s="16" t="str" cm="1">
        <f t="array" ref="Q15">IF(ISERROR(INDEX(_xlfn.TEXTSPLIT($J15,"/"),2)),"該当なし",INDEX(_xlfn.TEXTSPLIT($J15,"/"),2))</f>
        <v>GFOOT</v>
      </c>
      <c r="R15" s="16" t="str" cm="1">
        <f t="array" ref="R15">IF(ISERROR(INDEX(_xlfn.TEXTSPLIT($J15,"/"),3)),"該当なし",INDEX(_xlfn.TEXTSPLIT($J15,"/"),3))</f>
        <v>10_日次</v>
      </c>
      <c r="S15" s="16" t="str" cm="1">
        <f t="array" ref="S15">IF(ISERROR(INDEX(_xlfn.TEXTSPLIT($J15,"/"),4)),"該当なし",INDEX(_xlfn.TEXTSPLIT($J15,"/"),4))</f>
        <v>08_商品供給</v>
      </c>
    </row>
    <row r="16" spans="1:19" x14ac:dyDescent="0.55000000000000004">
      <c r="A16" s="16">
        <f t="shared" si="0"/>
        <v>14</v>
      </c>
      <c r="B16" s="16" t="s">
        <v>587</v>
      </c>
      <c r="C16" s="16" t="s">
        <v>446</v>
      </c>
      <c r="D16" s="16" t="s">
        <v>594</v>
      </c>
      <c r="E16" s="16" t="s">
        <v>566</v>
      </c>
      <c r="F16" s="16">
        <v>583</v>
      </c>
      <c r="H16" s="16">
        <f>IF(ISERROR(VLOOKUP(F16,'(参考)イベント受信待ち'!A:F,2,FALSE)),"該当無し",VLOOKUP(F16,'(参考)イベント受信待ち'!A:F,2,FALSE))</f>
        <v>27</v>
      </c>
      <c r="I16" s="16" t="str">
        <f>IF(ISERROR(VLOOKUP(F16,'(参考)イベント受信待ち'!A:F,3,FALSE)),"該当無し",VLOOKUP(F16,'(参考)イベント受信待ち'!A:F,3,FALSE))</f>
        <v>発注データ受信_受583</v>
      </c>
      <c r="J16" s="16" t="str">
        <f>IF(ISERROR(VLOOKUP(F16,'(参考)イベント受信待ち'!A:F,4,FALSE)),"該当無し",VLOOKUP(F16,'(参考)イベント受信待ち'!A:F,4,FALSE))</f>
        <v>/GFOOT/10_日次/08_商品供給/11_商品供給_発注データ受信</v>
      </c>
      <c r="K16" s="16"/>
      <c r="M16" s="16" t="str" cm="1">
        <f t="array" ref="M16">INDEX(_xlfn.TEXTSPLIT($C16,"/"),2)</f>
        <v>GFOOT</v>
      </c>
      <c r="N16" s="16" t="str" cm="1">
        <f t="array" ref="N16">INDEX(_xlfn.TEXTSPLIT($C16,"/"),3)</f>
        <v>10_日次</v>
      </c>
      <c r="O16" s="16" t="str" cm="1">
        <f t="array" ref="O16">INDEX(_xlfn.TEXTSPLIT($C16,"/"),4)</f>
        <v>08_商品供給</v>
      </c>
      <c r="Q16" s="16" t="str" cm="1">
        <f t="array" ref="Q16">IF(ISERROR(INDEX(_xlfn.TEXTSPLIT($J16,"/"),2)),"該当なし",INDEX(_xlfn.TEXTSPLIT($J16,"/"),2))</f>
        <v>GFOOT</v>
      </c>
      <c r="R16" s="16" t="str" cm="1">
        <f t="array" ref="R16">IF(ISERROR(INDEX(_xlfn.TEXTSPLIT($J16,"/"),3)),"該当なし",INDEX(_xlfn.TEXTSPLIT($J16,"/"),3))</f>
        <v>10_日次</v>
      </c>
      <c r="S16" s="16" t="str" cm="1">
        <f t="array" ref="S16">IF(ISERROR(INDEX(_xlfn.TEXTSPLIT($J16,"/"),4)),"該当なし",INDEX(_xlfn.TEXTSPLIT($J16,"/"),4))</f>
        <v>08_商品供給</v>
      </c>
    </row>
    <row r="17" spans="1:19" x14ac:dyDescent="0.55000000000000004">
      <c r="A17" s="16">
        <f t="shared" si="0"/>
        <v>15</v>
      </c>
      <c r="B17" s="16" t="s">
        <v>567</v>
      </c>
      <c r="C17" s="16" t="s">
        <v>461</v>
      </c>
      <c r="D17" s="16" t="s">
        <v>595</v>
      </c>
      <c r="E17" s="16" t="s">
        <v>566</v>
      </c>
      <c r="F17" s="16" t="s">
        <v>660</v>
      </c>
      <c r="H17" s="35" t="str">
        <f>IF(ISERROR(VLOOKUP(F17,'(参考)イベント受信待ち'!A:F,2,FALSE)),"該当無し",VLOOKUP(F17,'(参考)イベント受信待ち'!A:F,2,FALSE))</f>
        <v>該当無し</v>
      </c>
      <c r="I17" s="35" t="str">
        <f>IF(ISERROR(VLOOKUP(F17,'(参考)イベント受信待ち'!A:F,3,FALSE)),"該当無し",VLOOKUP(F17,'(参考)イベント受信待ち'!A:F,3,FALSE))</f>
        <v>該当無し</v>
      </c>
      <c r="J17" s="35" t="str">
        <f>IF(ISERROR(VLOOKUP(F17,'(参考)イベント受信待ち'!A:F,4,FALSE)),"該当無し",VLOOKUP(F17,'(参考)イベント受信待ち'!A:F,4,FALSE))</f>
        <v>該当無し</v>
      </c>
      <c r="K17" s="35"/>
      <c r="M17" s="16" t="str" cm="1">
        <f t="array" ref="M17">INDEX(_xlfn.TEXTSPLIT($C17,"/"),2)</f>
        <v>GFOOT</v>
      </c>
      <c r="N17" s="16" t="str" cm="1">
        <f t="array" ref="N17">INDEX(_xlfn.TEXTSPLIT($C17,"/"),3)</f>
        <v>10_日次</v>
      </c>
      <c r="O17" s="16" t="str" cm="1">
        <f t="array" ref="O17">INDEX(_xlfn.TEXTSPLIT($C17,"/"),4)</f>
        <v>10_DWH</v>
      </c>
      <c r="Q17" s="16" t="str" cm="1">
        <f t="array" ref="Q17">IF(ISERROR(INDEX(_xlfn.TEXTSPLIT($J17,"/"),2)),"該当なし",INDEX(_xlfn.TEXTSPLIT($J17,"/"),2))</f>
        <v>該当なし</v>
      </c>
      <c r="R17" s="16" t="str" cm="1">
        <f t="array" ref="R17">IF(ISERROR(INDEX(_xlfn.TEXTSPLIT($J17,"/"),3)),"該当なし",INDEX(_xlfn.TEXTSPLIT($J17,"/"),3))</f>
        <v>該当なし</v>
      </c>
      <c r="S17" s="16" t="str" cm="1">
        <f t="array" ref="S17">IF(ISERROR(INDEX(_xlfn.TEXTSPLIT($J17,"/"),4)),"該当なし",INDEX(_xlfn.TEXTSPLIT($J17,"/"),4))</f>
        <v>該当なし</v>
      </c>
    </row>
    <row r="18" spans="1:19" x14ac:dyDescent="0.55000000000000004">
      <c r="A18" s="16">
        <f t="shared" si="0"/>
        <v>16</v>
      </c>
      <c r="B18" s="16" t="s">
        <v>596</v>
      </c>
      <c r="C18" s="16" t="s">
        <v>597</v>
      </c>
      <c r="D18" s="16" t="s">
        <v>598</v>
      </c>
      <c r="E18" s="16" t="s">
        <v>566</v>
      </c>
      <c r="F18" s="16" t="s">
        <v>668</v>
      </c>
      <c r="H18" s="16">
        <f>IF(ISERROR(VLOOKUP(F18,'(参考)イベント受信待ち'!A:F,2,FALSE)),"該当無し",VLOOKUP(F18,'(参考)イベント受信待ち'!A:F,2,FALSE))</f>
        <v>12</v>
      </c>
      <c r="I18" s="16" t="str">
        <f>IF(ISERROR(VLOOKUP(F18,'(参考)イベント受信待ち'!A:F,3,FALSE)),"該当無し",VLOOKUP(F18,'(参考)イベント受信待ち'!A:F,3,FALSE))</f>
        <v>商品ＲＭ更新処理完了_702</v>
      </c>
      <c r="J18" s="16" t="str">
        <f>IF(ISERROR(VLOOKUP(F18,'(参考)イベント受信待ち'!A:F,4,FALSE)),"該当無し",VLOOKUP(F18,'(参考)イベント受信待ち'!A:F,4,FALSE))</f>
        <v>/GFOOT/10_日次/01_HULFT/配信_34_LOMOS_自動値札貼付</v>
      </c>
      <c r="K18" s="16"/>
      <c r="M18" s="16" t="str" cm="1">
        <f t="array" ref="M18">INDEX(_xlfn.TEXTSPLIT($C18,"/"),2)</f>
        <v>GFOOT</v>
      </c>
      <c r="N18" s="16" t="str" cm="1">
        <f t="array" ref="N18">INDEX(_xlfn.TEXTSPLIT($C18,"/"),3)</f>
        <v>10_日次</v>
      </c>
      <c r="O18" s="16" t="str" cm="1">
        <f t="array" ref="O18">INDEX(_xlfn.TEXTSPLIT($C18,"/"),4)</f>
        <v>10_DWH</v>
      </c>
      <c r="Q18" s="16" t="str" cm="1">
        <f t="array" ref="Q18">IF(ISERROR(INDEX(_xlfn.TEXTSPLIT($J18,"/"),2)),"該当なし",INDEX(_xlfn.TEXTSPLIT($J18,"/"),2))</f>
        <v>GFOOT</v>
      </c>
      <c r="R18" s="16" t="str" cm="1">
        <f t="array" ref="R18">IF(ISERROR(INDEX(_xlfn.TEXTSPLIT($J18,"/"),3)),"該当なし",INDEX(_xlfn.TEXTSPLIT($J18,"/"),3))</f>
        <v>10_日次</v>
      </c>
      <c r="S18" s="16" t="str" cm="1">
        <f t="array" ref="S18">IF(ISERROR(INDEX(_xlfn.TEXTSPLIT($J18,"/"),4)),"該当なし",INDEX(_xlfn.TEXTSPLIT($J18,"/"),4))</f>
        <v>01_HULFT</v>
      </c>
    </row>
    <row r="19" spans="1:19" x14ac:dyDescent="0.55000000000000004">
      <c r="A19" s="16">
        <f t="shared" si="0"/>
        <v>17</v>
      </c>
      <c r="B19" s="16" t="s">
        <v>599</v>
      </c>
      <c r="C19" s="16" t="s">
        <v>600</v>
      </c>
      <c r="D19" s="16" t="s">
        <v>601</v>
      </c>
      <c r="E19" s="16" t="s">
        <v>566</v>
      </c>
      <c r="F19" s="16" t="s">
        <v>669</v>
      </c>
      <c r="H19" s="16">
        <f>IF(ISERROR(VLOOKUP(F19,'(参考)イベント受信待ち'!A:F,2,FALSE)),"該当無し",VLOOKUP(F19,'(参考)イベント受信待ち'!A:F,2,FALSE))</f>
        <v>2</v>
      </c>
      <c r="I19" s="16" t="str">
        <f>IF(ISERROR(VLOOKUP(F19,'(参考)イベント受信待ち'!A:F,3,FALSE)),"該当無し",VLOOKUP(F19,'(参考)イベント受信待ち'!A:F,3,FALSE))</f>
        <v>店舗売価マスタ_BO転入完了</v>
      </c>
      <c r="J19" s="16" t="str">
        <f>IF(ISERROR(VLOOKUP(F19,'(参考)イベント受信待ち'!A:F,4,FALSE)),"該当無し",VLOOKUP(F19,'(参考)イベント受信待ち'!A:F,4,FALSE))</f>
        <v>/GFOOT/10_日次/01_HULFT/配信_11_AEON_商品マスタ</v>
      </c>
      <c r="K19" s="16"/>
      <c r="M19" s="16" t="str" cm="1">
        <f t="array" ref="M19">INDEX(_xlfn.TEXTSPLIT($C19,"/"),2)</f>
        <v>GFOOT</v>
      </c>
      <c r="N19" s="16" t="str" cm="1">
        <f t="array" ref="N19">INDEX(_xlfn.TEXTSPLIT($C19,"/"),3)</f>
        <v>10_日次</v>
      </c>
      <c r="O19" s="16" t="str" cm="1">
        <f t="array" ref="O19">INDEX(_xlfn.TEXTSPLIT($C19,"/"),4)</f>
        <v>10_DWH</v>
      </c>
      <c r="Q19" s="16" t="str" cm="1">
        <f t="array" ref="Q19">IF(ISERROR(INDEX(_xlfn.TEXTSPLIT($J19,"/"),2)),"該当なし",INDEX(_xlfn.TEXTSPLIT($J19,"/"),2))</f>
        <v>GFOOT</v>
      </c>
      <c r="R19" s="16" t="str" cm="1">
        <f t="array" ref="R19">IF(ISERROR(INDEX(_xlfn.TEXTSPLIT($J19,"/"),3)),"該当なし",INDEX(_xlfn.TEXTSPLIT($J19,"/"),3))</f>
        <v>10_日次</v>
      </c>
      <c r="S19" s="16" t="str" cm="1">
        <f t="array" ref="S19">IF(ISERROR(INDEX(_xlfn.TEXTSPLIT($J19,"/"),4)),"該当なし",INDEX(_xlfn.TEXTSPLIT($J19,"/"),4))</f>
        <v>01_HULFT</v>
      </c>
    </row>
    <row r="20" spans="1:19" x14ac:dyDescent="0.55000000000000004">
      <c r="A20" s="16">
        <f t="shared" si="0"/>
        <v>18</v>
      </c>
      <c r="B20" s="16" t="s">
        <v>475</v>
      </c>
      <c r="C20" s="16" t="s">
        <v>467</v>
      </c>
      <c r="D20" s="16" t="s">
        <v>602</v>
      </c>
      <c r="E20" s="16" t="s">
        <v>566</v>
      </c>
      <c r="F20" s="16" t="s">
        <v>670</v>
      </c>
      <c r="H20" s="16">
        <f>IF(ISERROR(VLOOKUP(F20,'(参考)イベント受信待ち'!A:F,2,FALSE)),"該当無し",VLOOKUP(F20,'(参考)イベント受信待ち'!A:F,2,FALSE))</f>
        <v>39</v>
      </c>
      <c r="I20" s="16" t="str">
        <f>IF(ISERROR(VLOOKUP(F20,'(参考)イベント受信待ち'!A:F,3,FALSE)),"該当無し",VLOOKUP(F20,'(参考)イベント受信待ち'!A:F,3,FALSE))</f>
        <v>週別店別単品実績更新終了</v>
      </c>
      <c r="J20" s="16" t="str">
        <f>IF(ISERROR(VLOOKUP(F20,'(参考)イベント受信待ち'!A:F,4,FALSE)),"該当無し",VLOOKUP(F20,'(参考)イベント受信待ち'!A:F,4,FALSE))</f>
        <v>/GFOOT/10_日次/10_DWH/21_週別_DrSum_レポート更新</v>
      </c>
      <c r="K20" s="16"/>
      <c r="M20" s="16" t="str" cm="1">
        <f t="array" ref="M20">INDEX(_xlfn.TEXTSPLIT($C20,"/"),2)</f>
        <v>GFOOT</v>
      </c>
      <c r="N20" s="16" t="str" cm="1">
        <f t="array" ref="N20">INDEX(_xlfn.TEXTSPLIT($C20,"/"),3)</f>
        <v>10_日次</v>
      </c>
      <c r="O20" s="16" t="str" cm="1">
        <f t="array" ref="O20">INDEX(_xlfn.TEXTSPLIT($C20,"/"),4)</f>
        <v>10_DWH</v>
      </c>
      <c r="Q20" s="16" t="str" cm="1">
        <f t="array" ref="Q20">IF(ISERROR(INDEX(_xlfn.TEXTSPLIT($J20,"/"),2)),"該当なし",INDEX(_xlfn.TEXTSPLIT($J20,"/"),2))</f>
        <v>GFOOT</v>
      </c>
      <c r="R20" s="16" t="str" cm="1">
        <f t="array" ref="R20">IF(ISERROR(INDEX(_xlfn.TEXTSPLIT($J20,"/"),3)),"該当なし",INDEX(_xlfn.TEXTSPLIT($J20,"/"),3))</f>
        <v>10_日次</v>
      </c>
      <c r="S20" s="16" t="str" cm="1">
        <f t="array" ref="S20">IF(ISERROR(INDEX(_xlfn.TEXTSPLIT($J20,"/"),4)),"該当なし",INDEX(_xlfn.TEXTSPLIT($J20,"/"),4))</f>
        <v>10_DWH</v>
      </c>
    </row>
    <row r="21" spans="1:19" x14ac:dyDescent="0.55000000000000004">
      <c r="A21" s="16">
        <f t="shared" si="0"/>
        <v>19</v>
      </c>
      <c r="B21" s="16" t="s">
        <v>603</v>
      </c>
      <c r="C21" s="16" t="s">
        <v>467</v>
      </c>
      <c r="D21" s="16" t="s">
        <v>604</v>
      </c>
      <c r="E21" s="16" t="s">
        <v>566</v>
      </c>
      <c r="F21" s="16" t="s">
        <v>671</v>
      </c>
      <c r="H21" s="16">
        <f>IF(ISERROR(VLOOKUP(F21,'(参考)イベント受信待ち'!A:F,2,FALSE)),"該当無し",VLOOKUP(F21,'(参考)イベント受信待ち'!A:F,2,FALSE))</f>
        <v>14</v>
      </c>
      <c r="I21" s="16" t="str">
        <f>IF(ISERROR(VLOOKUP(F21,'(参考)イベント受信待ち'!A:F,3,FALSE)),"該当無し",VLOOKUP(F21,'(参考)イベント受信待ち'!A:F,3,FALSE))</f>
        <v>APV-&gt;DWH取込処理終了_7FFFA701</v>
      </c>
      <c r="J21" s="16" t="str">
        <f>IF(ISERROR(VLOOKUP(F21,'(参考)イベント受信待ち'!A:F,4,FALSE)),"該当無し",VLOOKUP(F21,'(参考)イベント受信待ち'!A:F,4,FALSE))</f>
        <v>/GFOOT/10_日次/01_HULFT/配信_50_AEON_経営DB</v>
      </c>
      <c r="K21" s="16"/>
      <c r="M21" s="16" t="str" cm="1">
        <f t="array" ref="M21">INDEX(_xlfn.TEXTSPLIT($C21,"/"),2)</f>
        <v>GFOOT</v>
      </c>
      <c r="N21" s="16" t="str" cm="1">
        <f t="array" ref="N21">INDEX(_xlfn.TEXTSPLIT($C21,"/"),3)</f>
        <v>10_日次</v>
      </c>
      <c r="O21" s="16" t="str" cm="1">
        <f t="array" ref="O21">INDEX(_xlfn.TEXTSPLIT($C21,"/"),4)</f>
        <v>10_DWH</v>
      </c>
      <c r="Q21" s="16" t="str" cm="1">
        <f t="array" ref="Q21">IF(ISERROR(INDEX(_xlfn.TEXTSPLIT($J21,"/"),2)),"該当なし",INDEX(_xlfn.TEXTSPLIT($J21,"/"),2))</f>
        <v>GFOOT</v>
      </c>
      <c r="R21" s="16" t="str" cm="1">
        <f t="array" ref="R21">IF(ISERROR(INDEX(_xlfn.TEXTSPLIT($J21,"/"),3)),"該当なし",INDEX(_xlfn.TEXTSPLIT($J21,"/"),3))</f>
        <v>10_日次</v>
      </c>
      <c r="S21" s="16" t="str" cm="1">
        <f t="array" ref="S21">IF(ISERROR(INDEX(_xlfn.TEXTSPLIT($J21,"/"),4)),"該当なし",INDEX(_xlfn.TEXTSPLIT($J21,"/"),4))</f>
        <v>01_HULFT</v>
      </c>
    </row>
    <row r="22" spans="1:19" x14ac:dyDescent="0.55000000000000004">
      <c r="A22" s="16">
        <f t="shared" si="0"/>
        <v>20</v>
      </c>
      <c r="B22" s="16" t="s">
        <v>605</v>
      </c>
      <c r="C22" s="16" t="s">
        <v>467</v>
      </c>
      <c r="D22" s="16" t="s">
        <v>606</v>
      </c>
      <c r="E22" s="16" t="s">
        <v>566</v>
      </c>
      <c r="F22" s="16" t="s">
        <v>672</v>
      </c>
      <c r="H22" s="16">
        <f>IF(ISERROR(VLOOKUP(F22,'(参考)イベント受信待ち'!A:F,2,FALSE)),"該当無し",VLOOKUP(F22,'(参考)イベント受信待ち'!A:F,2,FALSE))</f>
        <v>24</v>
      </c>
      <c r="I22" s="16" t="str">
        <f>IF(ISERROR(VLOOKUP(F22,'(参考)イベント受信待ち'!A:F,3,FALSE)),"該当無し",VLOOKUP(F22,'(参考)イベント受信待ち'!A:F,3,FALSE))</f>
        <v>店舗売価マスタ更新：703</v>
      </c>
      <c r="J22" s="16" t="str">
        <f>IF(ISERROR(VLOOKUP(F22,'(参考)イベント受信待ち'!A:F,4,FALSE)),"該当無し",VLOOKUP(F22,'(参考)イベント受信待ち'!A:F,4,FALSE))</f>
        <v>/GFOOT/10_日次/05_棚卸/商品マスタ送信_v2.0</v>
      </c>
      <c r="K22" s="16"/>
      <c r="M22" s="16" t="str" cm="1">
        <f t="array" ref="M22">INDEX(_xlfn.TEXTSPLIT($C22,"/"),2)</f>
        <v>GFOOT</v>
      </c>
      <c r="N22" s="16" t="str" cm="1">
        <f t="array" ref="N22">INDEX(_xlfn.TEXTSPLIT($C22,"/"),3)</f>
        <v>10_日次</v>
      </c>
      <c r="O22" s="16" t="str" cm="1">
        <f t="array" ref="O22">INDEX(_xlfn.TEXTSPLIT($C22,"/"),4)</f>
        <v>10_DWH</v>
      </c>
      <c r="Q22" s="16" t="str" cm="1">
        <f t="array" ref="Q22">IF(ISERROR(INDEX(_xlfn.TEXTSPLIT($J22,"/"),2)),"該当なし",INDEX(_xlfn.TEXTSPLIT($J22,"/"),2))</f>
        <v>GFOOT</v>
      </c>
      <c r="R22" s="16" t="str" cm="1">
        <f t="array" ref="R22">IF(ISERROR(INDEX(_xlfn.TEXTSPLIT($J22,"/"),3)),"該当なし",INDEX(_xlfn.TEXTSPLIT($J22,"/"),3))</f>
        <v>10_日次</v>
      </c>
      <c r="S22" s="16" t="str" cm="1">
        <f t="array" ref="S22">IF(ISERROR(INDEX(_xlfn.TEXTSPLIT($J22,"/"),4)),"該当なし",INDEX(_xlfn.TEXTSPLIT($J22,"/"),4))</f>
        <v>05_棚卸</v>
      </c>
    </row>
    <row r="23" spans="1:19" x14ac:dyDescent="0.55000000000000004">
      <c r="A23" s="16">
        <f t="shared" si="0"/>
        <v>21</v>
      </c>
      <c r="B23" s="16" t="s">
        <v>498</v>
      </c>
      <c r="C23" s="16" t="s">
        <v>607</v>
      </c>
      <c r="D23" s="16" t="s">
        <v>608</v>
      </c>
      <c r="E23" s="16" t="s">
        <v>566</v>
      </c>
      <c r="F23" s="16" t="s">
        <v>673</v>
      </c>
      <c r="H23" s="16">
        <f>IF(ISERROR(VLOOKUP(F23,'(参考)イベント受信待ち'!A:F,2,FALSE)),"該当無し",VLOOKUP(F23,'(参考)イベント受信待ち'!A:F,2,FALSE))</f>
        <v>47</v>
      </c>
      <c r="I23" s="16" t="str">
        <f>IF(ISERROR(VLOOKUP(F23,'(参考)イベント受信待ち'!A:F,3,FALSE)),"該当無し",VLOOKUP(F23,'(参考)イベント受信待ち'!A:F,3,FALSE))</f>
        <v>社員現職情報更新完了</v>
      </c>
      <c r="J23" s="16" t="str">
        <f>IF(ISERROR(VLOOKUP(F23,'(参考)イベント受信待ち'!A:F,4,FALSE)),"該当無し",VLOOKUP(F23,'(参考)イベント受信待ち'!A:F,4,FALSE))</f>
        <v>/GFOOT/10_日次/30_人事関連/03_社員・組織情報作成</v>
      </c>
      <c r="K23" s="16"/>
      <c r="M23" s="16" t="str" cm="1">
        <f t="array" ref="M23">INDEX(_xlfn.TEXTSPLIT($C23,"/"),2)</f>
        <v>GFOOT</v>
      </c>
      <c r="N23" s="16" t="str" cm="1">
        <f t="array" ref="N23">INDEX(_xlfn.TEXTSPLIT($C23,"/"),3)</f>
        <v>10_日次</v>
      </c>
      <c r="O23" s="16" t="str" cm="1">
        <f t="array" ref="O23">INDEX(_xlfn.TEXTSPLIT($C23,"/"),4)</f>
        <v>30_人事関連</v>
      </c>
      <c r="Q23" s="16" t="str" cm="1">
        <f t="array" ref="Q23">IF(ISERROR(INDEX(_xlfn.TEXTSPLIT($J23,"/"),2)),"該当なし",INDEX(_xlfn.TEXTSPLIT($J23,"/"),2))</f>
        <v>GFOOT</v>
      </c>
      <c r="R23" s="16" t="str" cm="1">
        <f t="array" ref="R23">IF(ISERROR(INDEX(_xlfn.TEXTSPLIT($J23,"/"),3)),"該当なし",INDEX(_xlfn.TEXTSPLIT($J23,"/"),3))</f>
        <v>10_日次</v>
      </c>
      <c r="S23" s="16" t="str" cm="1">
        <f t="array" ref="S23">IF(ISERROR(INDEX(_xlfn.TEXTSPLIT($J23,"/"),4)),"該当なし",INDEX(_xlfn.TEXTSPLIT($J23,"/"),4))</f>
        <v>30_人事関連</v>
      </c>
    </row>
    <row r="24" spans="1:19" x14ac:dyDescent="0.55000000000000004">
      <c r="A24" s="16">
        <f t="shared" si="0"/>
        <v>22</v>
      </c>
      <c r="B24" s="16" t="s">
        <v>501</v>
      </c>
      <c r="C24" s="16" t="s">
        <v>499</v>
      </c>
      <c r="D24" s="16" t="s">
        <v>503</v>
      </c>
      <c r="E24" s="16" t="s">
        <v>566</v>
      </c>
      <c r="F24" s="16" t="s">
        <v>674</v>
      </c>
      <c r="H24" s="16">
        <f>IF(ISERROR(VLOOKUP(F24,'(参考)イベント受信待ち'!A:F,2,FALSE)),"該当無し",VLOOKUP(F24,'(参考)イベント受信待ち'!A:F,2,FALSE))</f>
        <v>46</v>
      </c>
      <c r="I24" s="16" t="str">
        <f>IF(ISERROR(VLOOKUP(F24,'(参考)イベント受信待ち'!A:F,3,FALSE)),"該当無し",VLOOKUP(F24,'(参考)イベント受信待ち'!A:F,3,FALSE))</f>
        <v>受_771_ADPS会計データ作成完了</v>
      </c>
      <c r="J24" s="16" t="str">
        <f>IF(ISERROR(VLOOKUP(F24,'(参考)イベント受信待ち'!A:F,4,FALSE)),"該当無し",VLOOKUP(F24,'(参考)イベント受信待ち'!A:F,4,FALSE))</f>
        <v>/GFOOT/10_日次/20_会計関連/40.楽楽精算向け_データ連携</v>
      </c>
      <c r="K24" s="16"/>
      <c r="M24" s="16" t="str" cm="1">
        <f t="array" ref="M24">INDEX(_xlfn.TEXTSPLIT($C24,"/"),2)</f>
        <v>GFOOT</v>
      </c>
      <c r="N24" s="16" t="str" cm="1">
        <f t="array" ref="N24">INDEX(_xlfn.TEXTSPLIT($C24,"/"),3)</f>
        <v>10_日次</v>
      </c>
      <c r="O24" s="16" t="str" cm="1">
        <f t="array" ref="O24">INDEX(_xlfn.TEXTSPLIT($C24,"/"),4)</f>
        <v>30_人事関連</v>
      </c>
      <c r="Q24" s="16" t="str" cm="1">
        <f t="array" ref="Q24">IF(ISERROR(INDEX(_xlfn.TEXTSPLIT($J24,"/"),2)),"該当なし",INDEX(_xlfn.TEXTSPLIT($J24,"/"),2))</f>
        <v>GFOOT</v>
      </c>
      <c r="R24" s="16" t="str" cm="1">
        <f t="array" ref="R24">IF(ISERROR(INDEX(_xlfn.TEXTSPLIT($J24,"/"),3)),"該当なし",INDEX(_xlfn.TEXTSPLIT($J24,"/"),3))</f>
        <v>10_日次</v>
      </c>
      <c r="S24" s="16" t="str" cm="1">
        <f t="array" ref="S24">IF(ISERROR(INDEX(_xlfn.TEXTSPLIT($J24,"/"),4)),"該当なし",INDEX(_xlfn.TEXTSPLIT($J24,"/"),4))</f>
        <v>20_会計関連</v>
      </c>
    </row>
    <row r="25" spans="1:19" x14ac:dyDescent="0.55000000000000004">
      <c r="A25" s="16">
        <f t="shared" si="0"/>
        <v>23</v>
      </c>
      <c r="B25" s="16" t="s">
        <v>609</v>
      </c>
      <c r="C25" s="16" t="s">
        <v>508</v>
      </c>
      <c r="D25" s="16" t="s">
        <v>610</v>
      </c>
      <c r="E25" s="16" t="s">
        <v>566</v>
      </c>
      <c r="F25" s="16" t="s">
        <v>675</v>
      </c>
      <c r="H25" s="16">
        <f>IF(ISERROR(VLOOKUP(F25,'(参考)イベント受信待ち'!A:F,2,FALSE)),"該当無し",VLOOKUP(F25,'(参考)イベント受信待ち'!A:F,2,FALSE))</f>
        <v>3</v>
      </c>
      <c r="I25" s="16" t="str">
        <f>IF(ISERROR(VLOOKUP(F25,'(参考)イベント受信待ち'!A:F,3,FALSE)),"該当無し",VLOOKUP(F25,'(参考)イベント受信待ち'!A:F,3,FALSE))</f>
        <v>売変データ更新完了</v>
      </c>
      <c r="J25" s="16" t="str">
        <f>IF(ISERROR(VLOOKUP(F25,'(参考)イベント受信待ち'!A:F,4,FALSE)),"該当無し",VLOOKUP(F25,'(参考)イベント受信待ち'!A:F,4,FALSE))</f>
        <v>/GFOOT/10_日次/01_HULFT/配信_11_AEON_商品マスタ</v>
      </c>
      <c r="K25" s="16"/>
      <c r="M25" s="16" t="str" cm="1">
        <f t="array" ref="M25">INDEX(_xlfn.TEXTSPLIT($C25,"/"),2)</f>
        <v>GFOOT</v>
      </c>
      <c r="N25" s="16" t="str" cm="1">
        <f t="array" ref="N25">INDEX(_xlfn.TEXTSPLIT($C25,"/"),3)</f>
        <v>10_日次</v>
      </c>
      <c r="O25" s="16" t="str" cm="1">
        <f t="array" ref="O25">INDEX(_xlfn.TEXTSPLIT($C25,"/"),4)</f>
        <v>31_店舗</v>
      </c>
      <c r="Q25" s="16" t="str" cm="1">
        <f t="array" ref="Q25">IF(ISERROR(INDEX(_xlfn.TEXTSPLIT($J25,"/"),2)),"該当なし",INDEX(_xlfn.TEXTSPLIT($J25,"/"),2))</f>
        <v>GFOOT</v>
      </c>
      <c r="R25" s="16" t="str" cm="1">
        <f t="array" ref="R25">IF(ISERROR(INDEX(_xlfn.TEXTSPLIT($J25,"/"),3)),"該当なし",INDEX(_xlfn.TEXTSPLIT($J25,"/"),3))</f>
        <v>10_日次</v>
      </c>
      <c r="S25" s="16" t="str" cm="1">
        <f t="array" ref="S25">IF(ISERROR(INDEX(_xlfn.TEXTSPLIT($J25,"/"),4)),"該当なし",INDEX(_xlfn.TEXTSPLIT($J25,"/"),4))</f>
        <v>01_HULFT</v>
      </c>
    </row>
    <row r="26" spans="1:19" x14ac:dyDescent="0.55000000000000004">
      <c r="A26" s="16">
        <f t="shared" si="0"/>
        <v>24</v>
      </c>
      <c r="B26" s="16" t="s">
        <v>611</v>
      </c>
      <c r="C26" s="16" t="s">
        <v>612</v>
      </c>
      <c r="D26" s="16" t="s">
        <v>613</v>
      </c>
      <c r="E26" s="16" t="s">
        <v>566</v>
      </c>
      <c r="F26" s="16" t="s">
        <v>665</v>
      </c>
      <c r="H26" s="16">
        <f>IF(ISERROR(VLOOKUP(F26,'(参考)イベント受信待ち'!A:F,2,FALSE)),"該当無し",VLOOKUP(F26,'(参考)イベント受信待ち'!A:F,2,FALSE))</f>
        <v>64</v>
      </c>
      <c r="I26" s="16" t="str">
        <f>IF(ISERROR(VLOOKUP(F26,'(参考)イベント受信待ち'!A:F,3,FALSE)),"該当無し",VLOOKUP(F26,'(参考)イベント受信待ち'!A:F,3,FALSE))</f>
        <v>ASM発注検収返品データ_7FFFA710</v>
      </c>
      <c r="J26" s="16" t="str">
        <f>IF(ISERROR(VLOOKUP(F26,'(参考)イベント受信待ち'!A:F,4,FALSE)),"該当無し",VLOOKUP(F26,'(参考)イベント受信待ち'!A:F,4,FALSE))</f>
        <v>/GFOOT/10_日次/N2910_日次監視</v>
      </c>
      <c r="K26" s="16"/>
      <c r="M26" s="16" t="str" cm="1">
        <f t="array" ref="M26">INDEX(_xlfn.TEXTSPLIT($C26,"/"),2)</f>
        <v>GFOOT</v>
      </c>
      <c r="N26" s="16" t="str" cm="1">
        <f t="array" ref="N26">INDEX(_xlfn.TEXTSPLIT($C26,"/"),3)</f>
        <v>10_日次</v>
      </c>
      <c r="O26" s="16" t="str" cm="1">
        <f t="array" ref="O26">INDEX(_xlfn.TEXTSPLIT($C26,"/"),4)</f>
        <v>31_店舗</v>
      </c>
      <c r="Q26" s="16" t="str" cm="1">
        <f t="array" ref="Q26">IF(ISERROR(INDEX(_xlfn.TEXTSPLIT($J26,"/"),2)),"該当なし",INDEX(_xlfn.TEXTSPLIT($J26,"/"),2))</f>
        <v>GFOOT</v>
      </c>
      <c r="R26" s="16" t="str" cm="1">
        <f t="array" ref="R26">IF(ISERROR(INDEX(_xlfn.TEXTSPLIT($J26,"/"),3)),"該当なし",INDEX(_xlfn.TEXTSPLIT($J26,"/"),3))</f>
        <v>10_日次</v>
      </c>
      <c r="S26" s="16" t="str" cm="1">
        <f t="array" ref="S26">IF(ISERROR(INDEX(_xlfn.TEXTSPLIT($J26,"/"),4)),"該当なし",INDEX(_xlfn.TEXTSPLIT($J26,"/"),4))</f>
        <v>N2910_日次監視</v>
      </c>
    </row>
    <row r="27" spans="1:19" x14ac:dyDescent="0.55000000000000004">
      <c r="A27" s="16">
        <f t="shared" si="0"/>
        <v>25</v>
      </c>
      <c r="B27" s="16" t="s">
        <v>614</v>
      </c>
      <c r="C27" s="16" t="s">
        <v>615</v>
      </c>
      <c r="D27" s="16" t="s">
        <v>616</v>
      </c>
      <c r="E27" s="16" t="s">
        <v>566</v>
      </c>
      <c r="F27" s="16" t="s">
        <v>676</v>
      </c>
      <c r="H27" s="16">
        <f>IF(ISERROR(VLOOKUP(F27,'(参考)イベント受信待ち'!A:F,2,FALSE)),"該当無し",VLOOKUP(F27,'(参考)イベント受信待ち'!A:F,2,FALSE))</f>
        <v>58</v>
      </c>
      <c r="I27" s="16" t="str">
        <f>IF(ISERROR(VLOOKUP(F27,'(参考)イベント受信待ち'!A:F,3,FALSE)),"該当無し",VLOOKUP(F27,'(参考)イベント受信待ち'!A:F,3,FALSE))</f>
        <v>AgileWorks_データ連携完了</v>
      </c>
      <c r="J27" s="16" t="str">
        <f>IF(ISERROR(VLOOKUP(F27,'(参考)イベント受信待ち'!A:F,4,FALSE)),"該当無し",VLOOKUP(F27,'(参考)イベント受信待ち'!A:F,4,FALSE))</f>
        <v>/GFOOT/10_日次/N0100_02_日次/受信_売上・店舗BO・WEB申請</v>
      </c>
      <c r="K27" s="16"/>
      <c r="M27" s="16" t="str" cm="1">
        <f t="array" ref="M27">INDEX(_xlfn.TEXTSPLIT($C27,"/"),2)</f>
        <v>GFOOT</v>
      </c>
      <c r="N27" s="16" t="str" cm="1">
        <f t="array" ref="N27">INDEX(_xlfn.TEXTSPLIT($C27,"/"),3)</f>
        <v>10_日次</v>
      </c>
      <c r="O27" s="16" t="str" cm="1">
        <f t="array" ref="O27">INDEX(_xlfn.TEXTSPLIT($C27,"/"),4)</f>
        <v>70_WorkFlow</v>
      </c>
      <c r="Q27" s="16" t="str" cm="1">
        <f t="array" ref="Q27">IF(ISERROR(INDEX(_xlfn.TEXTSPLIT($J27,"/"),2)),"該当なし",INDEX(_xlfn.TEXTSPLIT($J27,"/"),2))</f>
        <v>GFOOT</v>
      </c>
      <c r="R27" s="16" t="str" cm="1">
        <f t="array" ref="R27">IF(ISERROR(INDEX(_xlfn.TEXTSPLIT($J27,"/"),3)),"該当なし",INDEX(_xlfn.TEXTSPLIT($J27,"/"),3))</f>
        <v>10_日次</v>
      </c>
      <c r="S27" s="16" t="str" cm="1">
        <f t="array" ref="S27">IF(ISERROR(INDEX(_xlfn.TEXTSPLIT($J27,"/"),4)),"該当なし",INDEX(_xlfn.TEXTSPLIT($J27,"/"),4))</f>
        <v>N0100_02_日次</v>
      </c>
    </row>
    <row r="28" spans="1:19" x14ac:dyDescent="0.55000000000000004">
      <c r="A28" s="16">
        <f t="shared" si="0"/>
        <v>26</v>
      </c>
      <c r="B28" s="16" t="s">
        <v>617</v>
      </c>
      <c r="C28" s="16" t="s">
        <v>618</v>
      </c>
      <c r="D28" s="16" t="s">
        <v>523</v>
      </c>
      <c r="E28" s="16" t="s">
        <v>566</v>
      </c>
      <c r="F28" s="16" t="s">
        <v>523</v>
      </c>
      <c r="H28" s="16">
        <f>IF(ISERROR(VLOOKUP(F28,'(参考)イベント受信待ち'!A:F,2,FALSE)),"該当無し",VLOOKUP(F28,'(参考)イベント受信待ち'!A:F,2,FALSE))</f>
        <v>1</v>
      </c>
      <c r="I28" s="16" t="str">
        <f>IF(ISERROR(VLOOKUP(F28,'(参考)イベント受信待ち'!A:F,3,FALSE)),"該当無し",VLOOKUP(F28,'(参考)イベント受信待ち'!A:F,3,FALSE))</f>
        <v>APVマスタデータ出力完了_002</v>
      </c>
      <c r="J28" s="16" t="str">
        <f>IF(ISERROR(VLOOKUP(F28,'(参考)イベント受信待ち'!A:F,4,FALSE)),"該当無し",VLOOKUP(F28,'(参考)イベント受信待ち'!A:F,4,FALSE))</f>
        <v>/GFOOT/10_日次/01_HULFT/配信_11_AEON_商品マスタ</v>
      </c>
      <c r="K28" s="16"/>
      <c r="M28" s="16" t="str" cm="1">
        <f t="array" ref="M28">INDEX(_xlfn.TEXTSPLIT($C28,"/"),2)</f>
        <v>GFOOT</v>
      </c>
      <c r="N28" s="16" t="str" cm="1">
        <f t="array" ref="N28">INDEX(_xlfn.TEXTSPLIT($C28,"/"),3)</f>
        <v>10_日次</v>
      </c>
      <c r="O28" s="16" t="str" cm="1">
        <f t="array" ref="O28">INDEX(_xlfn.TEXTSPLIT($C28,"/"),4)</f>
        <v>N0100_01_日次_APVマスタデータ</v>
      </c>
      <c r="Q28" s="16" t="str" cm="1">
        <f t="array" ref="Q28">IF(ISERROR(INDEX(_xlfn.TEXTSPLIT($J28,"/"),2)),"該当なし",INDEX(_xlfn.TEXTSPLIT($J28,"/"),2))</f>
        <v>GFOOT</v>
      </c>
      <c r="R28" s="16" t="str" cm="1">
        <f t="array" ref="R28">IF(ISERROR(INDEX(_xlfn.TEXTSPLIT($J28,"/"),3)),"該当なし",INDEX(_xlfn.TEXTSPLIT($J28,"/"),3))</f>
        <v>10_日次</v>
      </c>
      <c r="S28" s="16" t="str" cm="1">
        <f t="array" ref="S28">IF(ISERROR(INDEX(_xlfn.TEXTSPLIT($J28,"/"),4)),"該当なし",INDEX(_xlfn.TEXTSPLIT($J28,"/"),4))</f>
        <v>01_HULFT</v>
      </c>
    </row>
    <row r="29" spans="1:19" x14ac:dyDescent="0.55000000000000004">
      <c r="A29" s="16">
        <f t="shared" si="0"/>
        <v>27</v>
      </c>
      <c r="B29" s="16" t="s">
        <v>550</v>
      </c>
      <c r="C29" s="16" t="s">
        <v>618</v>
      </c>
      <c r="D29" s="16" t="s">
        <v>619</v>
      </c>
      <c r="E29" s="16" t="s">
        <v>566</v>
      </c>
      <c r="F29" s="16" t="s">
        <v>677</v>
      </c>
      <c r="H29" s="35" t="str">
        <f>IF(ISERROR(VLOOKUP(F29,'(参考)イベント受信待ち'!A:F,2,FALSE)),"該当無し",VLOOKUP(F29,'(参考)イベント受信待ち'!A:F,2,FALSE))</f>
        <v>該当無し</v>
      </c>
      <c r="I29" s="35" t="str">
        <f>IF(ISERROR(VLOOKUP(F29,'(参考)イベント受信待ち'!A:F,3,FALSE)),"該当無し",VLOOKUP(F29,'(参考)イベント受信待ち'!A:F,3,FALSE))</f>
        <v>該当無し</v>
      </c>
      <c r="J29" s="35" t="str">
        <f>IF(ISERROR(VLOOKUP(F29,'(参考)イベント受信待ち'!A:F,4,FALSE)),"該当無し",VLOOKUP(F29,'(参考)イベント受信待ち'!A:F,4,FALSE))</f>
        <v>該当無し</v>
      </c>
      <c r="K29" s="35"/>
      <c r="M29" s="16" t="str" cm="1">
        <f t="array" ref="M29">INDEX(_xlfn.TEXTSPLIT($C29,"/"),2)</f>
        <v>GFOOT</v>
      </c>
      <c r="N29" s="16" t="str" cm="1">
        <f t="array" ref="N29">INDEX(_xlfn.TEXTSPLIT($C29,"/"),3)</f>
        <v>10_日次</v>
      </c>
      <c r="O29" s="16" t="str" cm="1">
        <f t="array" ref="O29">INDEX(_xlfn.TEXTSPLIT($C29,"/"),4)</f>
        <v>N0100_01_日次_APVマスタデータ</v>
      </c>
      <c r="Q29" s="16" t="str" cm="1">
        <f t="array" ref="Q29">IF(ISERROR(INDEX(_xlfn.TEXTSPLIT($J29,"/"),2)),"該当なし",INDEX(_xlfn.TEXTSPLIT($J29,"/"),2))</f>
        <v>該当なし</v>
      </c>
      <c r="R29" s="16" t="str" cm="1">
        <f t="array" ref="R29">IF(ISERROR(INDEX(_xlfn.TEXTSPLIT($J29,"/"),3)),"該当なし",INDEX(_xlfn.TEXTSPLIT($J29,"/"),3))</f>
        <v>該当なし</v>
      </c>
      <c r="S29" s="16" t="str" cm="1">
        <f t="array" ref="S29">IF(ISERROR(INDEX(_xlfn.TEXTSPLIT($J29,"/"),4)),"該当なし",INDEX(_xlfn.TEXTSPLIT($J29,"/"),4))</f>
        <v>該当なし</v>
      </c>
    </row>
    <row r="30" spans="1:19" x14ac:dyDescent="0.55000000000000004">
      <c r="A30" s="16">
        <f t="shared" si="0"/>
        <v>28</v>
      </c>
      <c r="B30" s="16" t="s">
        <v>540</v>
      </c>
      <c r="C30" s="16" t="s">
        <v>522</v>
      </c>
      <c r="D30" s="16" t="s">
        <v>620</v>
      </c>
      <c r="E30" s="16" t="s">
        <v>566</v>
      </c>
      <c r="F30" s="16" t="s">
        <v>678</v>
      </c>
      <c r="H30" s="16">
        <f>IF(ISERROR(VLOOKUP(F30,'(参考)イベント受信待ち'!A:F,2,FALSE)),"該当無し",VLOOKUP(F30,'(参考)イベント受信待ち'!A:F,2,FALSE))</f>
        <v>63</v>
      </c>
      <c r="I30" s="16" t="str">
        <f>IF(ISERROR(VLOOKUP(F30,'(参考)イベント受信待ち'!A:F,3,FALSE)),"該当無し",VLOOKUP(F30,'(参考)イベント受信待ち'!A:F,3,FALSE))</f>
        <v>APV_CFテーブル更新_終了</v>
      </c>
      <c r="J30" s="16" t="str">
        <f>IF(ISERROR(VLOOKUP(F30,'(参考)イベント受信待ち'!A:F,4,FALSE)),"該当無し",VLOOKUP(F30,'(参考)イベント受信待ち'!A:F,4,FALSE))</f>
        <v>/GFOOT/10_日次/N2910_日次監視</v>
      </c>
      <c r="K30" s="16"/>
      <c r="M30" s="16" t="str" cm="1">
        <f t="array" ref="M30">INDEX(_xlfn.TEXTSPLIT($C30,"/"),2)</f>
        <v>GFOOT</v>
      </c>
      <c r="N30" s="16" t="str" cm="1">
        <f t="array" ref="N30">INDEX(_xlfn.TEXTSPLIT($C30,"/"),3)</f>
        <v>10_日次</v>
      </c>
      <c r="O30" s="16" t="str" cm="1">
        <f t="array" ref="O30">INDEX(_xlfn.TEXTSPLIT($C30,"/"),4)</f>
        <v>N0100_02_日次</v>
      </c>
      <c r="Q30" s="16" t="str" cm="1">
        <f t="array" ref="Q30">IF(ISERROR(INDEX(_xlfn.TEXTSPLIT($J30,"/"),2)),"該当なし",INDEX(_xlfn.TEXTSPLIT($J30,"/"),2))</f>
        <v>GFOOT</v>
      </c>
      <c r="R30" s="16" t="str" cm="1">
        <f t="array" ref="R30">IF(ISERROR(INDEX(_xlfn.TEXTSPLIT($J30,"/"),3)),"該当なし",INDEX(_xlfn.TEXTSPLIT($J30,"/"),3))</f>
        <v>10_日次</v>
      </c>
      <c r="S30" s="16" t="str" cm="1">
        <f t="array" ref="S30">IF(ISERROR(INDEX(_xlfn.TEXTSPLIT($J30,"/"),4)),"該当なし",INDEX(_xlfn.TEXTSPLIT($J30,"/"),4))</f>
        <v>N2910_日次監視</v>
      </c>
    </row>
    <row r="31" spans="1:19" x14ac:dyDescent="0.55000000000000004">
      <c r="A31" s="16">
        <f t="shared" si="0"/>
        <v>29</v>
      </c>
      <c r="B31" s="16" t="s">
        <v>621</v>
      </c>
      <c r="C31" s="16" t="s">
        <v>622</v>
      </c>
      <c r="D31" s="16" t="s">
        <v>623</v>
      </c>
      <c r="E31" s="16" t="s">
        <v>566</v>
      </c>
      <c r="F31" s="16" t="s">
        <v>679</v>
      </c>
      <c r="H31" s="16">
        <f>IF(ISERROR(VLOOKUP(F31,'(参考)イベント受信待ち'!A:F,2,FALSE)),"該当無し",VLOOKUP(F31,'(参考)イベント受信待ち'!A:F,2,FALSE))</f>
        <v>70</v>
      </c>
      <c r="I31" s="16" t="str">
        <f>IF(ISERROR(VLOOKUP(F31,'(参考)イベント受信待ち'!A:F,3,FALSE)),"該当無し",VLOOKUP(F31,'(参考)イベント受信待ち'!A:F,3,FALSE))</f>
        <v>発注処理開始通知_7FFFA570</v>
      </c>
      <c r="J31" s="16" t="str">
        <f>IF(ISERROR(VLOOKUP(F31,'(参考)イベント受信待ち'!A:F,4,FALSE)),"該当無し",VLOOKUP(F31,'(参考)イベント受信待ち'!A:F,4,FALSE))</f>
        <v>/GFOOT/10_日次/N2910_日次監視</v>
      </c>
      <c r="K31" s="16"/>
      <c r="M31" s="16" t="str" cm="1">
        <f t="array" ref="M31">INDEX(_xlfn.TEXTSPLIT($C31,"/"),2)</f>
        <v>GFOOT</v>
      </c>
      <c r="N31" s="16" t="str" cm="1">
        <f t="array" ref="N31">INDEX(_xlfn.TEXTSPLIT($C31,"/"),3)</f>
        <v>10_日次</v>
      </c>
      <c r="O31" s="16" t="str" cm="1">
        <f t="array" ref="O31">INDEX(_xlfn.TEXTSPLIT($C31,"/"),4)</f>
        <v>N0100_02_日次</v>
      </c>
      <c r="Q31" s="16" t="str" cm="1">
        <f t="array" ref="Q31">IF(ISERROR(INDEX(_xlfn.TEXTSPLIT($J31,"/"),2)),"該当なし",INDEX(_xlfn.TEXTSPLIT($J31,"/"),2))</f>
        <v>GFOOT</v>
      </c>
      <c r="R31" s="16" t="str" cm="1">
        <f t="array" ref="R31">IF(ISERROR(INDEX(_xlfn.TEXTSPLIT($J31,"/"),3)),"該当なし",INDEX(_xlfn.TEXTSPLIT($J31,"/"),3))</f>
        <v>10_日次</v>
      </c>
      <c r="S31" s="16" t="str" cm="1">
        <f t="array" ref="S31">IF(ISERROR(INDEX(_xlfn.TEXTSPLIT($J31,"/"),4)),"該当なし",INDEX(_xlfn.TEXTSPLIT($J31,"/"),4))</f>
        <v>N2910_日次監視</v>
      </c>
    </row>
    <row r="32" spans="1:19" x14ac:dyDescent="0.55000000000000004">
      <c r="A32" s="16">
        <f t="shared" si="0"/>
        <v>30</v>
      </c>
      <c r="B32" s="16" t="s">
        <v>624</v>
      </c>
      <c r="C32" s="16" t="s">
        <v>522</v>
      </c>
      <c r="D32" s="16" t="s">
        <v>625</v>
      </c>
      <c r="E32" s="16" t="s">
        <v>566</v>
      </c>
      <c r="F32" s="16" t="s">
        <v>680</v>
      </c>
      <c r="H32" s="16">
        <f>IF(ISERROR(VLOOKUP(F32,'(参考)イベント受信待ち'!A:F,2,FALSE)),"該当無し",VLOOKUP(F32,'(参考)イベント受信待ち'!A:F,2,FALSE))</f>
        <v>34</v>
      </c>
      <c r="I32" s="16" t="str">
        <f>IF(ISERROR(VLOOKUP(F32,'(参考)イベント受信待ち'!A:F,3,FALSE)),"該当無し",VLOOKUP(F32,'(参考)イベント受信待ち'!A:F,3,FALSE))</f>
        <v>AP-V取込完了_7FFFA700</v>
      </c>
      <c r="J32" s="16" t="str">
        <f>IF(ISERROR(VLOOKUP(F32,'(参考)イベント受信待ち'!A:F,4,FALSE)),"該当無し",VLOOKUP(F32,'(参考)イベント受信待ち'!A:F,4,FALSE))</f>
        <v>/GFOOT/10_日次/10_DWH/15_DWH_Dr.Sum更新</v>
      </c>
      <c r="K32" s="16"/>
      <c r="M32" s="16" t="str" cm="1">
        <f t="array" ref="M32">INDEX(_xlfn.TEXTSPLIT($C32,"/"),2)</f>
        <v>GFOOT</v>
      </c>
      <c r="N32" s="16" t="str" cm="1">
        <f t="array" ref="N32">INDEX(_xlfn.TEXTSPLIT($C32,"/"),3)</f>
        <v>10_日次</v>
      </c>
      <c r="O32" s="16" t="str" cm="1">
        <f t="array" ref="O32">INDEX(_xlfn.TEXTSPLIT($C32,"/"),4)</f>
        <v>N0100_02_日次</v>
      </c>
      <c r="Q32" s="16" t="str" cm="1">
        <f t="array" ref="Q32">IF(ISERROR(INDEX(_xlfn.TEXTSPLIT($J32,"/"),2)),"該当なし",INDEX(_xlfn.TEXTSPLIT($J32,"/"),2))</f>
        <v>GFOOT</v>
      </c>
      <c r="R32" s="16" t="str" cm="1">
        <f t="array" ref="R32">IF(ISERROR(INDEX(_xlfn.TEXTSPLIT($J32,"/"),3)),"該当なし",INDEX(_xlfn.TEXTSPLIT($J32,"/"),3))</f>
        <v>10_日次</v>
      </c>
      <c r="S32" s="16" t="str" cm="1">
        <f t="array" ref="S32">IF(ISERROR(INDEX(_xlfn.TEXTSPLIT($J32,"/"),4)),"該当なし",INDEX(_xlfn.TEXTSPLIT($J32,"/"),4))</f>
        <v>10_DWH</v>
      </c>
    </row>
    <row r="33" spans="1:19" x14ac:dyDescent="0.55000000000000004">
      <c r="A33" s="16">
        <f t="shared" si="0"/>
        <v>31</v>
      </c>
      <c r="B33" s="16" t="s">
        <v>483</v>
      </c>
      <c r="C33" s="16" t="s">
        <v>522</v>
      </c>
      <c r="D33" s="16" t="s">
        <v>626</v>
      </c>
      <c r="E33" s="16" t="s">
        <v>566</v>
      </c>
      <c r="F33" s="16" t="s">
        <v>626</v>
      </c>
      <c r="H33" s="16">
        <f>IF(ISERROR(VLOOKUP(F33,'(参考)イベント受信待ち'!A:F,2,FALSE)),"該当無し",VLOOKUP(F33,'(参考)イベント受信待ち'!A:F,2,FALSE))</f>
        <v>41</v>
      </c>
      <c r="I33" s="16" t="str">
        <f>IF(ISERROR(VLOOKUP(F33,'(参考)イベント受信待ち'!A:F,3,FALSE)),"該当無し",VLOOKUP(F33,'(参考)イベント受信待ち'!A:F,3,FALSE))</f>
        <v>INTR_D作成完了</v>
      </c>
      <c r="J33" s="16" t="str">
        <f>IF(ISERROR(VLOOKUP(F33,'(参考)イベント受信待ち'!A:F,4,FALSE)),"該当無し",VLOOKUP(F33,'(参考)イベント受信待ち'!A:F,4,FALSE))</f>
        <v>/GFOOT/10_日次/10_NAIS/11_NAIS_実績データ送信</v>
      </c>
      <c r="K33" s="16"/>
      <c r="M33" s="16" t="str" cm="1">
        <f t="array" ref="M33">INDEX(_xlfn.TEXTSPLIT($C33,"/"),2)</f>
        <v>GFOOT</v>
      </c>
      <c r="N33" s="16" t="str" cm="1">
        <f t="array" ref="N33">INDEX(_xlfn.TEXTSPLIT($C33,"/"),3)</f>
        <v>10_日次</v>
      </c>
      <c r="O33" s="16" t="str" cm="1">
        <f t="array" ref="O33">INDEX(_xlfn.TEXTSPLIT($C33,"/"),4)</f>
        <v>N0100_02_日次</v>
      </c>
      <c r="Q33" s="16" t="str" cm="1">
        <f t="array" ref="Q33">IF(ISERROR(INDEX(_xlfn.TEXTSPLIT($J33,"/"),2)),"該当なし",INDEX(_xlfn.TEXTSPLIT($J33,"/"),2))</f>
        <v>GFOOT</v>
      </c>
      <c r="R33" s="16" t="str" cm="1">
        <f t="array" ref="R33">IF(ISERROR(INDEX(_xlfn.TEXTSPLIT($J33,"/"),3)),"該当なし",INDEX(_xlfn.TEXTSPLIT($J33,"/"),3))</f>
        <v>10_日次</v>
      </c>
      <c r="S33" s="16" t="str" cm="1">
        <f t="array" ref="S33">IF(ISERROR(INDEX(_xlfn.TEXTSPLIT($J33,"/"),4)),"該当なし",INDEX(_xlfn.TEXTSPLIT($J33,"/"),4))</f>
        <v>10_NAIS</v>
      </c>
    </row>
    <row r="34" spans="1:19" x14ac:dyDescent="0.55000000000000004">
      <c r="A34" s="16">
        <f t="shared" si="0"/>
        <v>32</v>
      </c>
      <c r="B34" s="16" t="s">
        <v>627</v>
      </c>
      <c r="C34" s="16" t="s">
        <v>522</v>
      </c>
      <c r="D34" s="16" t="s">
        <v>434</v>
      </c>
      <c r="E34" s="16" t="s">
        <v>566</v>
      </c>
      <c r="F34" s="16" t="s">
        <v>434</v>
      </c>
      <c r="H34" s="16">
        <f>IF(ISERROR(VLOOKUP(F34,'(参考)イベント受信待ち'!A:F,2,FALSE)),"該当無し",VLOOKUP(F34,'(参考)イベント受信待ち'!A:F,2,FALSE))</f>
        <v>9</v>
      </c>
      <c r="I34" s="16" t="str">
        <f>IF(ISERROR(VLOOKUP(F34,'(参考)イベント受信待ち'!A:F,3,FALSE)),"該当無し",VLOOKUP(F34,'(参考)イベント受信待ち'!A:F,3,FALSE))</f>
        <v>VANSENDH_TV作成完了_受539</v>
      </c>
      <c r="J34" s="16" t="str">
        <f>IF(ISERROR(VLOOKUP(F34,'(参考)イベント受信待ち'!A:F,4,FALSE)),"該当無し",VLOOKUP(F34,'(参考)イベント受信待ち'!A:F,4,FALSE))</f>
        <v>/GFOOT/10_日次/01_HULFT/配信_32_AEONTopValue向け発注</v>
      </c>
      <c r="K34" s="16"/>
      <c r="M34" s="16" t="str" cm="1">
        <f t="array" ref="M34">INDEX(_xlfn.TEXTSPLIT($C34,"/"),2)</f>
        <v>GFOOT</v>
      </c>
      <c r="N34" s="16" t="str" cm="1">
        <f t="array" ref="N34">INDEX(_xlfn.TEXTSPLIT($C34,"/"),3)</f>
        <v>10_日次</v>
      </c>
      <c r="O34" s="16" t="str" cm="1">
        <f t="array" ref="O34">INDEX(_xlfn.TEXTSPLIT($C34,"/"),4)</f>
        <v>N0100_02_日次</v>
      </c>
      <c r="Q34" s="16" t="str" cm="1">
        <f t="array" ref="Q34">IF(ISERROR(INDEX(_xlfn.TEXTSPLIT($J34,"/"),2)),"該当なし",INDEX(_xlfn.TEXTSPLIT($J34,"/"),2))</f>
        <v>GFOOT</v>
      </c>
      <c r="R34" s="16" t="str" cm="1">
        <f t="array" ref="R34">IF(ISERROR(INDEX(_xlfn.TEXTSPLIT($J34,"/"),3)),"該当なし",INDEX(_xlfn.TEXTSPLIT($J34,"/"),3))</f>
        <v>10_日次</v>
      </c>
      <c r="S34" s="16" t="str" cm="1">
        <f t="array" ref="S34">IF(ISERROR(INDEX(_xlfn.TEXTSPLIT($J34,"/"),4)),"該当なし",INDEX(_xlfn.TEXTSPLIT($J34,"/"),4))</f>
        <v>01_HULFT</v>
      </c>
    </row>
    <row r="35" spans="1:19" x14ac:dyDescent="0.55000000000000004">
      <c r="A35" s="16">
        <f t="shared" si="0"/>
        <v>33</v>
      </c>
      <c r="B35" s="16" t="s">
        <v>628</v>
      </c>
      <c r="C35" s="16" t="s">
        <v>522</v>
      </c>
      <c r="D35" s="16" t="s">
        <v>629</v>
      </c>
      <c r="E35" s="16" t="s">
        <v>566</v>
      </c>
      <c r="F35" s="16" t="s">
        <v>681</v>
      </c>
      <c r="H35" s="16">
        <f>IF(ISERROR(VLOOKUP(F35,'(参考)イベント受信待ち'!A:F,2,FALSE)),"該当無し",VLOOKUP(F35,'(参考)イベント受信待ち'!A:F,2,FALSE))</f>
        <v>36</v>
      </c>
      <c r="I35" s="16" t="str">
        <f>IF(ISERROR(VLOOKUP(F35,'(参考)イベント受信待ち'!A:F,3,FALSE)),"該当無し",VLOOKUP(F35,'(参考)イベント受信待ち'!A:F,3,FALSE))</f>
        <v>発注対象ＣＦ完了</v>
      </c>
      <c r="J35" s="16" t="str">
        <f>IF(ISERROR(VLOOKUP(F35,'(参考)イベント受信待ち'!A:F,4,FALSE)),"該当無し",VLOOKUP(F35,'(参考)イベント受信待ち'!A:F,4,FALSE))</f>
        <v>/GFOOT/10_日次/10_DWH/15_DWH_Dr.Sum更新</v>
      </c>
      <c r="K35" s="16"/>
      <c r="M35" s="16" t="str" cm="1">
        <f t="array" ref="M35">INDEX(_xlfn.TEXTSPLIT($C35,"/"),2)</f>
        <v>GFOOT</v>
      </c>
      <c r="N35" s="16" t="str" cm="1">
        <f t="array" ref="N35">INDEX(_xlfn.TEXTSPLIT($C35,"/"),3)</f>
        <v>10_日次</v>
      </c>
      <c r="O35" s="16" t="str" cm="1">
        <f t="array" ref="O35">INDEX(_xlfn.TEXTSPLIT($C35,"/"),4)</f>
        <v>N0100_02_日次</v>
      </c>
      <c r="Q35" s="16" t="str" cm="1">
        <f t="array" ref="Q35">IF(ISERROR(INDEX(_xlfn.TEXTSPLIT($J35,"/"),2)),"該当なし",INDEX(_xlfn.TEXTSPLIT($J35,"/"),2))</f>
        <v>GFOOT</v>
      </c>
      <c r="R35" s="16" t="str" cm="1">
        <f t="array" ref="R35">IF(ISERROR(INDEX(_xlfn.TEXTSPLIT($J35,"/"),3)),"該当なし",INDEX(_xlfn.TEXTSPLIT($J35,"/"),3))</f>
        <v>10_日次</v>
      </c>
      <c r="S35" s="16" t="str" cm="1">
        <f t="array" ref="S35">IF(ISERROR(INDEX(_xlfn.TEXTSPLIT($J35,"/"),4)),"該当なし",INDEX(_xlfn.TEXTSPLIT($J35,"/"),4))</f>
        <v>10_DWH</v>
      </c>
    </row>
    <row r="36" spans="1:19" x14ac:dyDescent="0.55000000000000004">
      <c r="A36" s="16">
        <f t="shared" si="0"/>
        <v>34</v>
      </c>
      <c r="B36" s="16" t="s">
        <v>630</v>
      </c>
      <c r="C36" s="16" t="s">
        <v>522</v>
      </c>
      <c r="D36" s="16" t="s">
        <v>631</v>
      </c>
      <c r="E36" s="16" t="s">
        <v>566</v>
      </c>
      <c r="F36" s="16" t="s">
        <v>682</v>
      </c>
      <c r="H36" s="16">
        <f>IF(ISERROR(VLOOKUP(F36,'(参考)イベント受信待ち'!A:F,2,FALSE)),"該当無し",VLOOKUP(F36,'(参考)イベント受信待ち'!A:F,2,FALSE))</f>
        <v>53</v>
      </c>
      <c r="I36" s="16" t="str">
        <f>IF(ISERROR(VLOOKUP(F36,'(参考)イベント受信待ち'!A:F,3,FALSE)),"該当無し",VLOOKUP(F36,'(参考)イベント受信待ち'!A:F,3,FALSE))</f>
        <v>7FFFA593_MD計画データ作成完了</v>
      </c>
      <c r="J36" s="16" t="str">
        <f>IF(ISERROR(VLOOKUP(F36,'(参考)イベント受信待ち'!A:F,4,FALSE)),"該当無し",VLOOKUP(F36,'(参考)イベント受信待ち'!A:F,4,FALSE))</f>
        <v>/GFOOT/10_日次/50_商品関連/21_MD計画_APV連携データ受信</v>
      </c>
      <c r="K36" s="16"/>
      <c r="M36" s="16" t="str" cm="1">
        <f t="array" ref="M36">INDEX(_xlfn.TEXTSPLIT($C36,"/"),2)</f>
        <v>GFOOT</v>
      </c>
      <c r="N36" s="16" t="str" cm="1">
        <f t="array" ref="N36">INDEX(_xlfn.TEXTSPLIT($C36,"/"),3)</f>
        <v>10_日次</v>
      </c>
      <c r="O36" s="16" t="str" cm="1">
        <f t="array" ref="O36">INDEX(_xlfn.TEXTSPLIT($C36,"/"),4)</f>
        <v>N0100_02_日次</v>
      </c>
      <c r="Q36" s="16" t="str" cm="1">
        <f t="array" ref="Q36">IF(ISERROR(INDEX(_xlfn.TEXTSPLIT($J36,"/"),2)),"該当なし",INDEX(_xlfn.TEXTSPLIT($J36,"/"),2))</f>
        <v>GFOOT</v>
      </c>
      <c r="R36" s="16" t="str" cm="1">
        <f t="array" ref="R36">IF(ISERROR(INDEX(_xlfn.TEXTSPLIT($J36,"/"),3)),"該当なし",INDEX(_xlfn.TEXTSPLIT($J36,"/"),3))</f>
        <v>10_日次</v>
      </c>
      <c r="S36" s="16" t="str" cm="1">
        <f t="array" ref="S36">IF(ISERROR(INDEX(_xlfn.TEXTSPLIT($J36,"/"),4)),"該当なし",INDEX(_xlfn.TEXTSPLIT($J36,"/"),4))</f>
        <v>50_商品関連</v>
      </c>
    </row>
    <row r="37" spans="1:19" x14ac:dyDescent="0.55000000000000004">
      <c r="A37" s="16">
        <f t="shared" si="0"/>
        <v>35</v>
      </c>
      <c r="B37" s="16" t="s">
        <v>632</v>
      </c>
      <c r="C37" s="16" t="s">
        <v>633</v>
      </c>
      <c r="D37" s="16" t="s">
        <v>634</v>
      </c>
      <c r="E37" s="16" t="s">
        <v>566</v>
      </c>
      <c r="F37" s="16" t="s">
        <v>634</v>
      </c>
      <c r="H37" s="35" t="str">
        <f>IF(ISERROR(VLOOKUP(F37,'(参考)イベント受信待ち'!A:F,2,FALSE)),"該当無し",VLOOKUP(F37,'(参考)イベント受信待ち'!A:F,2,FALSE))</f>
        <v>該当無し</v>
      </c>
      <c r="I37" s="35" t="str">
        <f>IF(ISERROR(VLOOKUP(F37,'(参考)イベント受信待ち'!A:F,3,FALSE)),"該当無し",VLOOKUP(F37,'(参考)イベント受信待ち'!A:F,3,FALSE))</f>
        <v>該当無し</v>
      </c>
      <c r="J37" s="35" t="str">
        <f>IF(ISERROR(VLOOKUP(F37,'(参考)イベント受信待ち'!A:F,4,FALSE)),"該当無し",VLOOKUP(F37,'(参考)イベント受信待ち'!A:F,4,FALSE))</f>
        <v>該当無し</v>
      </c>
      <c r="K37" s="35"/>
      <c r="M37" s="16" t="str" cm="1">
        <f t="array" ref="M37">INDEX(_xlfn.TEXTSPLIT($C37,"/"),2)</f>
        <v>GFOOT</v>
      </c>
      <c r="N37" s="16" t="str" cm="1">
        <f t="array" ref="N37">INDEX(_xlfn.TEXTSPLIT($C37,"/"),3)</f>
        <v>10_日次</v>
      </c>
      <c r="O37" s="16" t="str" cm="1">
        <f t="array" ref="O37">INDEX(_xlfn.TEXTSPLIT($C37,"/"),4)</f>
        <v>N0100_02_日次</v>
      </c>
      <c r="Q37" s="16" t="str" cm="1">
        <f t="array" ref="Q37">IF(ISERROR(INDEX(_xlfn.TEXTSPLIT($J37,"/"),2)),"該当なし",INDEX(_xlfn.TEXTSPLIT($J37,"/"),2))</f>
        <v>該当なし</v>
      </c>
      <c r="R37" s="16" t="str" cm="1">
        <f t="array" ref="R37">IF(ISERROR(INDEX(_xlfn.TEXTSPLIT($J37,"/"),3)),"該当なし",INDEX(_xlfn.TEXTSPLIT($J37,"/"),3))</f>
        <v>該当なし</v>
      </c>
      <c r="S37" s="16" t="str" cm="1">
        <f t="array" ref="S37">IF(ISERROR(INDEX(_xlfn.TEXTSPLIT($J37,"/"),4)),"該当なし",INDEX(_xlfn.TEXTSPLIT($J37,"/"),4))</f>
        <v>該当なし</v>
      </c>
    </row>
    <row r="38" spans="1:19" x14ac:dyDescent="0.55000000000000004">
      <c r="A38" s="16">
        <f t="shared" si="0"/>
        <v>36</v>
      </c>
      <c r="B38" s="16" t="s">
        <v>635</v>
      </c>
      <c r="C38" s="16" t="s">
        <v>636</v>
      </c>
      <c r="D38" s="16" t="s">
        <v>444</v>
      </c>
      <c r="E38" s="16" t="s">
        <v>566</v>
      </c>
      <c r="F38" s="16" t="s">
        <v>444</v>
      </c>
      <c r="H38" s="16">
        <f>IF(ISERROR(VLOOKUP(F38,'(参考)イベント受信待ち'!A:F,2,FALSE)),"該当無し",VLOOKUP(F38,'(参考)イベント受信待ち'!A:F,2,FALSE))</f>
        <v>25</v>
      </c>
      <c r="I38" s="16" t="str">
        <f>IF(ISERROR(VLOOKUP(F38,'(参考)イベント受信待ち'!A:F,3,FALSE)),"該当無し",VLOOKUP(F38,'(参考)イベント受信待ち'!A:F,3,FALSE))</f>
        <v>消耗品発注作成完了_受_7FFFA511</v>
      </c>
      <c r="J38" s="16" t="str">
        <f>IF(ISERROR(VLOOKUP(F38,'(参考)イベント受信待ち'!A:F,4,FALSE)),"該当無し",VLOOKUP(F38,'(参考)イベント受信待ち'!A:F,4,FALSE))</f>
        <v>/GFOOT/10_日次/06_消耗品発注/01_発注データコピー</v>
      </c>
      <c r="K38" s="16"/>
      <c r="M38" s="16" t="str" cm="1">
        <f t="array" ref="M38">INDEX(_xlfn.TEXTSPLIT($C38,"/"),2)</f>
        <v>GFOOT</v>
      </c>
      <c r="N38" s="16" t="str" cm="1">
        <f t="array" ref="N38">INDEX(_xlfn.TEXTSPLIT($C38,"/"),3)</f>
        <v>10_日次</v>
      </c>
      <c r="O38" s="16" t="str" cm="1">
        <f t="array" ref="O38">INDEX(_xlfn.TEXTSPLIT($C38,"/"),4)</f>
        <v>N0100_02_日次</v>
      </c>
      <c r="Q38" s="16" t="str" cm="1">
        <f t="array" ref="Q38">IF(ISERROR(INDEX(_xlfn.TEXTSPLIT($J38,"/"),2)),"該当なし",INDEX(_xlfn.TEXTSPLIT($J38,"/"),2))</f>
        <v>GFOOT</v>
      </c>
      <c r="R38" s="16" t="str" cm="1">
        <f t="array" ref="R38">IF(ISERROR(INDEX(_xlfn.TEXTSPLIT($J38,"/"),3)),"該当なし",INDEX(_xlfn.TEXTSPLIT($J38,"/"),3))</f>
        <v>10_日次</v>
      </c>
      <c r="S38" s="16" t="str" cm="1">
        <f t="array" ref="S38">IF(ISERROR(INDEX(_xlfn.TEXTSPLIT($J38,"/"),4)),"該当なし",INDEX(_xlfn.TEXTSPLIT($J38,"/"),4))</f>
        <v>06_消耗品発注</v>
      </c>
    </row>
    <row r="39" spans="1:19" x14ac:dyDescent="0.55000000000000004">
      <c r="A39" s="16">
        <f t="shared" si="0"/>
        <v>37</v>
      </c>
      <c r="B39" s="16" t="s">
        <v>637</v>
      </c>
      <c r="C39" s="16" t="s">
        <v>522</v>
      </c>
      <c r="D39" s="16" t="s">
        <v>638</v>
      </c>
      <c r="E39" s="16" t="s">
        <v>566</v>
      </c>
      <c r="F39" s="16" t="s">
        <v>638</v>
      </c>
      <c r="H39" s="16">
        <f>IF(ISERROR(VLOOKUP(F39,'(参考)イベント受信待ち'!A:F,2,FALSE)),"該当無し",VLOOKUP(F39,'(参考)イベント受信待ち'!A:F,2,FALSE))</f>
        <v>67</v>
      </c>
      <c r="I39" s="16" t="str">
        <f>IF(ISERROR(VLOOKUP(F39,'(参考)イベント受信待ち'!A:F,3,FALSE)),"該当無し",VLOOKUP(F39,'(参考)イベント受信待ち'!A:F,3,FALSE))</f>
        <v>東西LC送信作成完了_7FFFA6000</v>
      </c>
      <c r="J39" s="16" t="str">
        <f>IF(ISERROR(VLOOKUP(F39,'(参考)イベント受信待ち'!A:F,4,FALSE)),"該当無し",VLOOKUP(F39,'(参考)イベント受信待ち'!A:F,4,FALSE))</f>
        <v>/GFOOT/10_日次/N2910_日次監視</v>
      </c>
      <c r="K39" s="16"/>
      <c r="M39" s="16" t="str" cm="1">
        <f t="array" ref="M39">INDEX(_xlfn.TEXTSPLIT($C39,"/"),2)</f>
        <v>GFOOT</v>
      </c>
      <c r="N39" s="16" t="str" cm="1">
        <f t="array" ref="N39">INDEX(_xlfn.TEXTSPLIT($C39,"/"),3)</f>
        <v>10_日次</v>
      </c>
      <c r="O39" s="16" t="str" cm="1">
        <f t="array" ref="O39">INDEX(_xlfn.TEXTSPLIT($C39,"/"),4)</f>
        <v>N0100_02_日次</v>
      </c>
      <c r="Q39" s="16" t="str" cm="1">
        <f t="array" ref="Q39">IF(ISERROR(INDEX(_xlfn.TEXTSPLIT($J39,"/"),2)),"該当なし",INDEX(_xlfn.TEXTSPLIT($J39,"/"),2))</f>
        <v>GFOOT</v>
      </c>
      <c r="R39" s="16" t="str" cm="1">
        <f t="array" ref="R39">IF(ISERROR(INDEX(_xlfn.TEXTSPLIT($J39,"/"),3)),"該当なし",INDEX(_xlfn.TEXTSPLIT($J39,"/"),3))</f>
        <v>10_日次</v>
      </c>
      <c r="S39" s="16" t="str" cm="1">
        <f t="array" ref="S39">IF(ISERROR(INDEX(_xlfn.TEXTSPLIT($J39,"/"),4)),"該当なし",INDEX(_xlfn.TEXTSPLIT($J39,"/"),4))</f>
        <v>N2910_日次監視</v>
      </c>
    </row>
    <row r="40" spans="1:19" x14ac:dyDescent="0.55000000000000004">
      <c r="A40" s="16">
        <f t="shared" si="0"/>
        <v>38</v>
      </c>
      <c r="B40" s="16" t="s">
        <v>639</v>
      </c>
      <c r="C40" s="16" t="s">
        <v>640</v>
      </c>
      <c r="D40" s="16" t="s">
        <v>641</v>
      </c>
      <c r="E40" s="16" t="s">
        <v>566</v>
      </c>
      <c r="F40" s="16" t="s">
        <v>683</v>
      </c>
      <c r="H40" s="16">
        <f>IF(ISERROR(VLOOKUP(F40,'(参考)イベント受信待ち'!A:F,2,FALSE)),"該当無し",VLOOKUP(F40,'(参考)イベント受信待ち'!A:F,2,FALSE))</f>
        <v>5</v>
      </c>
      <c r="I40" s="16" t="str">
        <f>IF(ISERROR(VLOOKUP(F40,'(参考)イベント受信待ち'!A:F,3,FALSE)),"該当無し",VLOOKUP(F40,'(参考)イベント受信待ち'!A:F,3,FALSE))</f>
        <v>PSS001作成完了_受_601</v>
      </c>
      <c r="J40" s="16" t="str">
        <f>IF(ISERROR(VLOOKUP(F40,'(参考)イベント受信待ち'!A:F,4,FALSE)),"該当無し",VLOOKUP(F40,'(参考)イベント受信待ち'!A:F,4,FALSE))</f>
        <v>/GFOOT/10_日次/01_HULFT/配信_30_PSS</v>
      </c>
      <c r="K40" s="16"/>
      <c r="M40" s="16" t="str" cm="1">
        <f t="array" ref="M40">INDEX(_xlfn.TEXTSPLIT($C40,"/"),2)</f>
        <v>GFOOT</v>
      </c>
      <c r="N40" s="16" t="str" cm="1">
        <f t="array" ref="N40">INDEX(_xlfn.TEXTSPLIT($C40,"/"),3)</f>
        <v>10_日次</v>
      </c>
      <c r="O40" s="16" t="str" cm="1">
        <f t="array" ref="O40">INDEX(_xlfn.TEXTSPLIT($C40,"/"),4)</f>
        <v>N0100_02_日次</v>
      </c>
      <c r="Q40" s="16" t="str" cm="1">
        <f t="array" ref="Q40">IF(ISERROR(INDEX(_xlfn.TEXTSPLIT($J40,"/"),2)),"該当なし",INDEX(_xlfn.TEXTSPLIT($J40,"/"),2))</f>
        <v>GFOOT</v>
      </c>
      <c r="R40" s="16" t="str" cm="1">
        <f t="array" ref="R40">IF(ISERROR(INDEX(_xlfn.TEXTSPLIT($J40,"/"),3)),"該当なし",INDEX(_xlfn.TEXTSPLIT($J40,"/"),3))</f>
        <v>10_日次</v>
      </c>
      <c r="S40" s="16" t="str" cm="1">
        <f t="array" ref="S40">IF(ISERROR(INDEX(_xlfn.TEXTSPLIT($J40,"/"),4)),"該当なし",INDEX(_xlfn.TEXTSPLIT($J40,"/"),4))</f>
        <v>01_HULFT</v>
      </c>
    </row>
    <row r="41" spans="1:19" x14ac:dyDescent="0.55000000000000004">
      <c r="A41" s="16">
        <f t="shared" si="0"/>
        <v>39</v>
      </c>
      <c r="B41" s="16" t="s">
        <v>642</v>
      </c>
      <c r="C41" s="16" t="s">
        <v>640</v>
      </c>
      <c r="D41" s="16" t="s">
        <v>643</v>
      </c>
      <c r="E41" s="16" t="s">
        <v>566</v>
      </c>
      <c r="F41" s="16" t="s">
        <v>684</v>
      </c>
      <c r="H41" s="16">
        <f>IF(ISERROR(VLOOKUP(F41,'(参考)イベント受信待ち'!A:F,2,FALSE)),"該当無し",VLOOKUP(F41,'(参考)イベント受信待ち'!A:F,2,FALSE))</f>
        <v>6</v>
      </c>
      <c r="I41" s="16" t="str">
        <f>IF(ISERROR(VLOOKUP(F41,'(参考)イベント受信待ち'!A:F,3,FALSE)),"該当無し",VLOOKUP(F41,'(参考)イベント受信待ち'!A:F,3,FALSE))</f>
        <v>PSS002作成完了_受_602</v>
      </c>
      <c r="J41" s="16" t="str">
        <f>IF(ISERROR(VLOOKUP(F41,'(参考)イベント受信待ち'!A:F,4,FALSE)),"該当無し",VLOOKUP(F41,'(参考)イベント受信待ち'!A:F,4,FALSE))</f>
        <v>/GFOOT/10_日次/01_HULFT/配信_30_PSS</v>
      </c>
      <c r="K41" s="16"/>
      <c r="M41" s="16" t="str" cm="1">
        <f t="array" ref="M41">INDEX(_xlfn.TEXTSPLIT($C41,"/"),2)</f>
        <v>GFOOT</v>
      </c>
      <c r="N41" s="16" t="str" cm="1">
        <f t="array" ref="N41">INDEX(_xlfn.TEXTSPLIT($C41,"/"),3)</f>
        <v>10_日次</v>
      </c>
      <c r="O41" s="16" t="str" cm="1">
        <f t="array" ref="O41">INDEX(_xlfn.TEXTSPLIT($C41,"/"),4)</f>
        <v>N0100_02_日次</v>
      </c>
      <c r="Q41" s="16" t="str" cm="1">
        <f t="array" ref="Q41">IF(ISERROR(INDEX(_xlfn.TEXTSPLIT($J41,"/"),2)),"該当なし",INDEX(_xlfn.TEXTSPLIT($J41,"/"),2))</f>
        <v>GFOOT</v>
      </c>
      <c r="R41" s="16" t="str" cm="1">
        <f t="array" ref="R41">IF(ISERROR(INDEX(_xlfn.TEXTSPLIT($J41,"/"),3)),"該当なし",INDEX(_xlfn.TEXTSPLIT($J41,"/"),3))</f>
        <v>10_日次</v>
      </c>
      <c r="S41" s="16" t="str" cm="1">
        <f t="array" ref="S41">IF(ISERROR(INDEX(_xlfn.TEXTSPLIT($J41,"/"),4)),"該当なし",INDEX(_xlfn.TEXTSPLIT($J41,"/"),4))</f>
        <v>01_HULFT</v>
      </c>
    </row>
    <row r="42" spans="1:19" x14ac:dyDescent="0.55000000000000004">
      <c r="A42" s="16">
        <f t="shared" si="0"/>
        <v>40</v>
      </c>
      <c r="B42" s="16" t="s">
        <v>644</v>
      </c>
      <c r="C42" s="16" t="s">
        <v>640</v>
      </c>
      <c r="D42" s="16" t="s">
        <v>645</v>
      </c>
      <c r="E42" s="16" t="s">
        <v>566</v>
      </c>
      <c r="F42" s="16" t="s">
        <v>685</v>
      </c>
      <c r="H42" s="16">
        <f>IF(ISERROR(VLOOKUP(F42,'(参考)イベント受信待ち'!A:F,2,FALSE)),"該当無し",VLOOKUP(F42,'(参考)イベント受信待ち'!A:F,2,FALSE))</f>
        <v>7</v>
      </c>
      <c r="I42" s="16" t="str">
        <f>IF(ISERROR(VLOOKUP(F42,'(参考)イベント受信待ち'!A:F,3,FALSE)),"該当無し",VLOOKUP(F42,'(参考)イベント受信待ち'!A:F,3,FALSE))</f>
        <v>PSS003作成完了_受_603</v>
      </c>
      <c r="J42" s="16" t="str">
        <f>IF(ISERROR(VLOOKUP(F42,'(参考)イベント受信待ち'!A:F,4,FALSE)),"該当無し",VLOOKUP(F42,'(参考)イベント受信待ち'!A:F,4,FALSE))</f>
        <v>/GFOOT/10_日次/01_HULFT/配信_30_PSS</v>
      </c>
      <c r="K42" s="16"/>
      <c r="M42" s="16" t="str" cm="1">
        <f t="array" ref="M42">INDEX(_xlfn.TEXTSPLIT($C42,"/"),2)</f>
        <v>GFOOT</v>
      </c>
      <c r="N42" s="16" t="str" cm="1">
        <f t="array" ref="N42">INDEX(_xlfn.TEXTSPLIT($C42,"/"),3)</f>
        <v>10_日次</v>
      </c>
      <c r="O42" s="16" t="str" cm="1">
        <f t="array" ref="O42">INDEX(_xlfn.TEXTSPLIT($C42,"/"),4)</f>
        <v>N0100_02_日次</v>
      </c>
      <c r="Q42" s="16" t="str" cm="1">
        <f t="array" ref="Q42">IF(ISERROR(INDEX(_xlfn.TEXTSPLIT($J42,"/"),2)),"該当なし",INDEX(_xlfn.TEXTSPLIT($J42,"/"),2))</f>
        <v>GFOOT</v>
      </c>
      <c r="R42" s="16" t="str" cm="1">
        <f t="array" ref="R42">IF(ISERROR(INDEX(_xlfn.TEXTSPLIT($J42,"/"),3)),"該当なし",INDEX(_xlfn.TEXTSPLIT($J42,"/"),3))</f>
        <v>10_日次</v>
      </c>
      <c r="S42" s="16" t="str" cm="1">
        <f t="array" ref="S42">IF(ISERROR(INDEX(_xlfn.TEXTSPLIT($J42,"/"),4)),"該当なし",INDEX(_xlfn.TEXTSPLIT($J42,"/"),4))</f>
        <v>01_HULFT</v>
      </c>
    </row>
    <row r="43" spans="1:19" x14ac:dyDescent="0.55000000000000004">
      <c r="A43" s="16">
        <f t="shared" si="0"/>
        <v>41</v>
      </c>
      <c r="B43" s="16" t="s">
        <v>646</v>
      </c>
      <c r="C43" s="16" t="s">
        <v>640</v>
      </c>
      <c r="D43" s="16" t="s">
        <v>647</v>
      </c>
      <c r="E43" s="16" t="s">
        <v>566</v>
      </c>
      <c r="F43" s="16" t="s">
        <v>686</v>
      </c>
      <c r="H43" s="16">
        <f>IF(ISERROR(VLOOKUP(F43,'(参考)イベント受信待ち'!A:F,2,FALSE)),"該当無し",VLOOKUP(F43,'(参考)イベント受信待ち'!A:F,2,FALSE))</f>
        <v>8</v>
      </c>
      <c r="I43" s="16" t="str">
        <f>IF(ISERROR(VLOOKUP(F43,'(参考)イベント受信待ち'!A:F,3,FALSE)),"該当無し",VLOOKUP(F43,'(参考)イベント受信待ち'!A:F,3,FALSE))</f>
        <v>PSS009作成完了_受_609</v>
      </c>
      <c r="J43" s="16" t="str">
        <f>IF(ISERROR(VLOOKUP(F43,'(参考)イベント受信待ち'!A:F,4,FALSE)),"該当無し",VLOOKUP(F43,'(参考)イベント受信待ち'!A:F,4,FALSE))</f>
        <v>/GFOOT/10_日次/01_HULFT/配信_31_PSS_009</v>
      </c>
      <c r="K43" s="16"/>
      <c r="M43" s="16" t="str" cm="1">
        <f t="array" ref="M43">INDEX(_xlfn.TEXTSPLIT($C43,"/"),2)</f>
        <v>GFOOT</v>
      </c>
      <c r="N43" s="16" t="str" cm="1">
        <f t="array" ref="N43">INDEX(_xlfn.TEXTSPLIT($C43,"/"),3)</f>
        <v>10_日次</v>
      </c>
      <c r="O43" s="16" t="str" cm="1">
        <f t="array" ref="O43">INDEX(_xlfn.TEXTSPLIT($C43,"/"),4)</f>
        <v>N0100_02_日次</v>
      </c>
      <c r="Q43" s="16" t="str" cm="1">
        <f t="array" ref="Q43">IF(ISERROR(INDEX(_xlfn.TEXTSPLIT($J43,"/"),2)),"該当なし",INDEX(_xlfn.TEXTSPLIT($J43,"/"),2))</f>
        <v>GFOOT</v>
      </c>
      <c r="R43" s="16" t="str" cm="1">
        <f t="array" ref="R43">IF(ISERROR(INDEX(_xlfn.TEXTSPLIT($J43,"/"),3)),"該当なし",INDEX(_xlfn.TEXTSPLIT($J43,"/"),3))</f>
        <v>10_日次</v>
      </c>
      <c r="S43" s="16" t="str" cm="1">
        <f t="array" ref="S43">IF(ISERROR(INDEX(_xlfn.TEXTSPLIT($J43,"/"),4)),"該当なし",INDEX(_xlfn.TEXTSPLIT($J43,"/"),4))</f>
        <v>01_HULFT</v>
      </c>
    </row>
    <row r="44" spans="1:19" x14ac:dyDescent="0.55000000000000004">
      <c r="A44" s="16">
        <f t="shared" si="0"/>
        <v>42</v>
      </c>
      <c r="B44" s="16" t="s">
        <v>648</v>
      </c>
      <c r="C44" s="16" t="s">
        <v>649</v>
      </c>
      <c r="D44" s="16" t="s">
        <v>650</v>
      </c>
      <c r="E44" s="16" t="s">
        <v>566</v>
      </c>
      <c r="F44" s="16" t="s">
        <v>687</v>
      </c>
      <c r="H44" s="16">
        <f>IF(ISERROR(VLOOKUP(F44,'(参考)イベント受信待ち'!A:F,2,FALSE)),"該当無し",VLOOKUP(F44,'(参考)イベント受信待ち'!A:F,2,FALSE))</f>
        <v>43</v>
      </c>
      <c r="I44" s="16" t="str">
        <f>IF(ISERROR(VLOOKUP(F44,'(参考)イベント受信待ち'!A:F,3,FALSE)),"該当無し",VLOOKUP(F44,'(参考)イベント受信待ち'!A:F,3,FALSE))</f>
        <v>PSS004作成完了_7FFFA614</v>
      </c>
      <c r="J44" s="16" t="str">
        <f>IF(ISERROR(VLOOKUP(F44,'(参考)イベント受信待ち'!A:F,4,FALSE)),"該当無し",VLOOKUP(F44,'(参考)イベント受信待ち'!A:F,4,FALSE))</f>
        <v>/GFOOT/10_日次/10_NAIS/11_NAIS_実績データ送信</v>
      </c>
      <c r="K44" s="16"/>
      <c r="M44" s="16" t="str" cm="1">
        <f t="array" ref="M44">INDEX(_xlfn.TEXTSPLIT($C44,"/"),2)</f>
        <v>GFOOT</v>
      </c>
      <c r="N44" s="16" t="str" cm="1">
        <f t="array" ref="N44">INDEX(_xlfn.TEXTSPLIT($C44,"/"),3)</f>
        <v>10_日次</v>
      </c>
      <c r="O44" s="16" t="str" cm="1">
        <f t="array" ref="O44">INDEX(_xlfn.TEXTSPLIT($C44,"/"),4)</f>
        <v>N0100_02_日次</v>
      </c>
      <c r="Q44" s="16" t="str" cm="1">
        <f t="array" ref="Q44">IF(ISERROR(INDEX(_xlfn.TEXTSPLIT($J44,"/"),2)),"該当なし",INDEX(_xlfn.TEXTSPLIT($J44,"/"),2))</f>
        <v>GFOOT</v>
      </c>
      <c r="R44" s="16" t="str" cm="1">
        <f t="array" ref="R44">IF(ISERROR(INDEX(_xlfn.TEXTSPLIT($J44,"/"),3)),"該当なし",INDEX(_xlfn.TEXTSPLIT($J44,"/"),3))</f>
        <v>10_日次</v>
      </c>
      <c r="S44" s="16" t="str" cm="1">
        <f t="array" ref="S44">IF(ISERROR(INDEX(_xlfn.TEXTSPLIT($J44,"/"),4)),"該当なし",INDEX(_xlfn.TEXTSPLIT($J44,"/"),4))</f>
        <v>10_NAIS</v>
      </c>
    </row>
    <row r="45" spans="1:19" x14ac:dyDescent="0.55000000000000004">
      <c r="A45" s="16">
        <f t="shared" si="0"/>
        <v>43</v>
      </c>
      <c r="B45" s="16" t="s">
        <v>651</v>
      </c>
      <c r="C45" s="16" t="s">
        <v>649</v>
      </c>
      <c r="D45" s="16" t="s">
        <v>652</v>
      </c>
      <c r="E45" s="16" t="s">
        <v>566</v>
      </c>
      <c r="F45" s="16" t="s">
        <v>688</v>
      </c>
      <c r="H45" s="16">
        <f>IF(ISERROR(VLOOKUP(F45,'(参考)イベント受信待ち'!A:F,2,FALSE)),"該当無し",VLOOKUP(F45,'(参考)イベント受信待ち'!A:F,2,FALSE))</f>
        <v>44</v>
      </c>
      <c r="I45" s="16" t="str">
        <f>IF(ISERROR(VLOOKUP(F45,'(参考)イベント受信待ち'!A:F,3,FALSE)),"該当無し",VLOOKUP(F45,'(参考)イベント受信待ち'!A:F,3,FALSE))</f>
        <v>SKIREMEI_作成完了</v>
      </c>
      <c r="J45" s="16" t="str">
        <f>IF(ISERROR(VLOOKUP(F45,'(参考)イベント受信待ち'!A:F,4,FALSE)),"該当無し",VLOOKUP(F45,'(参考)イベント受信待ち'!A:F,4,FALSE))</f>
        <v>/GFOOT/10_日次/10_NAIS/11_NAIS_実績データ送信</v>
      </c>
      <c r="K45" s="16"/>
      <c r="M45" s="16" t="str" cm="1">
        <f t="array" ref="M45">INDEX(_xlfn.TEXTSPLIT($C45,"/"),2)</f>
        <v>GFOOT</v>
      </c>
      <c r="N45" s="16" t="str" cm="1">
        <f t="array" ref="N45">INDEX(_xlfn.TEXTSPLIT($C45,"/"),3)</f>
        <v>10_日次</v>
      </c>
      <c r="O45" s="16" t="str" cm="1">
        <f t="array" ref="O45">INDEX(_xlfn.TEXTSPLIT($C45,"/"),4)</f>
        <v>N0100_02_日次</v>
      </c>
      <c r="Q45" s="16" t="str" cm="1">
        <f t="array" ref="Q45">IF(ISERROR(INDEX(_xlfn.TEXTSPLIT($J45,"/"),2)),"該当なし",INDEX(_xlfn.TEXTSPLIT($J45,"/"),2))</f>
        <v>GFOOT</v>
      </c>
      <c r="R45" s="16" t="str" cm="1">
        <f t="array" ref="R45">IF(ISERROR(INDEX(_xlfn.TEXTSPLIT($J45,"/"),3)),"該当なし",INDEX(_xlfn.TEXTSPLIT($J45,"/"),3))</f>
        <v>10_日次</v>
      </c>
      <c r="S45" s="16" t="str" cm="1">
        <f t="array" ref="S45">IF(ISERROR(INDEX(_xlfn.TEXTSPLIT($J45,"/"),4)),"該当なし",INDEX(_xlfn.TEXTSPLIT($J45,"/"),4))</f>
        <v>10_NAIS</v>
      </c>
    </row>
    <row r="46" spans="1:19" x14ac:dyDescent="0.55000000000000004">
      <c r="A46" s="16">
        <f t="shared" si="0"/>
        <v>44</v>
      </c>
      <c r="B46" s="16" t="s">
        <v>653</v>
      </c>
      <c r="C46" s="16" t="s">
        <v>649</v>
      </c>
      <c r="D46" s="16" t="s">
        <v>654</v>
      </c>
      <c r="E46" s="16" t="s">
        <v>566</v>
      </c>
      <c r="F46" s="16" t="s">
        <v>689</v>
      </c>
      <c r="H46" s="16">
        <f>IF(ISERROR(VLOOKUP(F46,'(参考)イベント受信待ち'!A:F,2,FALSE)),"該当無し",VLOOKUP(F46,'(参考)イベント受信待ち'!A:F,2,FALSE))</f>
        <v>11</v>
      </c>
      <c r="I46" s="16" t="str">
        <f>IF(ISERROR(VLOOKUP(F46,'(参考)イベント受信待ち'!A:F,3,FALSE)),"該当無し",VLOOKUP(F46,'(参考)イベント受信待ち'!A:F,3,FALSE))</f>
        <v>受540_検収・返品データ作成終了</v>
      </c>
      <c r="J46" s="16" t="str">
        <f>IF(ISERROR(VLOOKUP(F46,'(参考)イベント受信待ち'!A:F,4,FALSE)),"該当無し",VLOOKUP(F46,'(参考)イベント受信待ち'!A:F,4,FALSE))</f>
        <v>/GFOOT/10_日次/01_HULFT/配信_33_ASM向け_発注検収返品デ</v>
      </c>
      <c r="K46" s="16"/>
      <c r="M46" s="16" t="str" cm="1">
        <f t="array" ref="M46">INDEX(_xlfn.TEXTSPLIT($C46,"/"),2)</f>
        <v>GFOOT</v>
      </c>
      <c r="N46" s="16" t="str" cm="1">
        <f t="array" ref="N46">INDEX(_xlfn.TEXTSPLIT($C46,"/"),3)</f>
        <v>10_日次</v>
      </c>
      <c r="O46" s="16" t="str" cm="1">
        <f t="array" ref="O46">INDEX(_xlfn.TEXTSPLIT($C46,"/"),4)</f>
        <v>N0100_02_日次</v>
      </c>
      <c r="Q46" s="16" t="str" cm="1">
        <f t="array" ref="Q46">IF(ISERROR(INDEX(_xlfn.TEXTSPLIT($J46,"/"),2)),"該当なし",INDEX(_xlfn.TEXTSPLIT($J46,"/"),2))</f>
        <v>GFOOT</v>
      </c>
      <c r="R46" s="16" t="str" cm="1">
        <f t="array" ref="R46">IF(ISERROR(INDEX(_xlfn.TEXTSPLIT($J46,"/"),3)),"該当なし",INDEX(_xlfn.TEXTSPLIT($J46,"/"),3))</f>
        <v>10_日次</v>
      </c>
      <c r="S46" s="16" t="str" cm="1">
        <f t="array" ref="S46">IF(ISERROR(INDEX(_xlfn.TEXTSPLIT($J46,"/"),4)),"該当なし",INDEX(_xlfn.TEXTSPLIT($J46,"/"),4))</f>
        <v>01_HULFT</v>
      </c>
    </row>
    <row r="47" spans="1:19" x14ac:dyDescent="0.55000000000000004">
      <c r="A47" s="16">
        <f t="shared" si="0"/>
        <v>45</v>
      </c>
      <c r="B47" s="16" t="s">
        <v>655</v>
      </c>
      <c r="C47" s="16" t="s">
        <v>656</v>
      </c>
      <c r="D47" s="16" t="s">
        <v>657</v>
      </c>
      <c r="E47" s="16" t="s">
        <v>566</v>
      </c>
      <c r="F47" s="16" t="s">
        <v>690</v>
      </c>
      <c r="H47" s="35" t="str">
        <f>IF(ISERROR(VLOOKUP(F47,'(参考)イベント受信待ち'!A:F,2,FALSE)),"該当無し",VLOOKUP(F47,'(参考)イベント受信待ち'!A:F,2,FALSE))</f>
        <v>該当無し</v>
      </c>
      <c r="I47" s="35" t="str">
        <f>IF(ISERROR(VLOOKUP(F47,'(参考)イベント受信待ち'!A:F,3,FALSE)),"該当無し",VLOOKUP(F47,'(参考)イベント受信待ち'!A:F,3,FALSE))</f>
        <v>該当無し</v>
      </c>
      <c r="J47" s="35" t="str">
        <f>IF(ISERROR(VLOOKUP(F47,'(参考)イベント受信待ち'!A:F,4,FALSE)),"該当無し",VLOOKUP(F47,'(参考)イベント受信待ち'!A:F,4,FALSE))</f>
        <v>該当無し</v>
      </c>
      <c r="K47" s="35"/>
      <c r="M47" s="16" t="str" cm="1">
        <f t="array" ref="M47">INDEX(_xlfn.TEXTSPLIT($C47,"/"),2)</f>
        <v>GFOOT</v>
      </c>
      <c r="N47" s="16" t="str" cm="1">
        <f t="array" ref="N47">INDEX(_xlfn.TEXTSPLIT($C47,"/"),3)</f>
        <v>10_日次</v>
      </c>
      <c r="O47" s="16" t="str" cm="1">
        <f t="array" ref="O47">INDEX(_xlfn.TEXTSPLIT($C47,"/"),4)</f>
        <v>N0100_02_日次</v>
      </c>
      <c r="Q47" s="16" t="str" cm="1">
        <f t="array" ref="Q47">IF(ISERROR(INDEX(_xlfn.TEXTSPLIT($J47,"/"),2)),"該当なし",INDEX(_xlfn.TEXTSPLIT($J47,"/"),2))</f>
        <v>該当なし</v>
      </c>
      <c r="R47" s="16" t="str" cm="1">
        <f t="array" ref="R47">IF(ISERROR(INDEX(_xlfn.TEXTSPLIT($J47,"/"),3)),"該当なし",INDEX(_xlfn.TEXTSPLIT($J47,"/"),3))</f>
        <v>該当なし</v>
      </c>
      <c r="S47" s="16" t="str" cm="1">
        <f t="array" ref="S47">IF(ISERROR(INDEX(_xlfn.TEXTSPLIT($J47,"/"),4)),"該当なし",INDEX(_xlfn.TEXTSPLIT($J47,"/"),4))</f>
        <v>該当なし</v>
      </c>
    </row>
    <row r="48" spans="1:19" x14ac:dyDescent="0.55000000000000004">
      <c r="A48" s="16">
        <f t="shared" si="0"/>
        <v>46</v>
      </c>
      <c r="B48" s="16" t="s">
        <v>566</v>
      </c>
      <c r="C48" s="16" t="s">
        <v>658</v>
      </c>
      <c r="D48" s="16" t="s">
        <v>659</v>
      </c>
      <c r="E48" s="16" t="s">
        <v>566</v>
      </c>
      <c r="F48" s="16" t="s">
        <v>691</v>
      </c>
      <c r="H48" s="16">
        <f>IF(ISERROR(VLOOKUP(F48,'(参考)イベント受信待ち'!A:F,2,FALSE)),"該当無し",VLOOKUP(F48,'(参考)イベント受信待ち'!A:F,2,FALSE))</f>
        <v>37</v>
      </c>
      <c r="I48" s="16" t="str">
        <f>IF(ISERROR(VLOOKUP(F48,'(参考)イベント受信待ち'!A:F,3,FALSE)),"該当無し",VLOOKUP(F48,'(参考)イベント受信待ち'!A:F,3,FALSE))</f>
        <v>受299_AUTOMAINOK_DWH更新トリガ</v>
      </c>
      <c r="J48" s="16" t="str">
        <f>IF(ISERROR(VLOOKUP(F48,'(参考)イベント受信待ち'!A:F,4,FALSE)),"該当無し",VLOOKUP(F48,'(参考)イベント受信待ち'!A:F,4,FALSE))</f>
        <v>/GFOOT/10_日次/10_DWH/16_DWH_NIS関連処理</v>
      </c>
      <c r="K48" s="16"/>
      <c r="M48" s="16" t="str" cm="1">
        <f t="array" ref="M48">INDEX(_xlfn.TEXTSPLIT($C48,"/"),2)</f>
        <v>GFOOT</v>
      </c>
      <c r="N48" s="16" t="str" cm="1">
        <f t="array" ref="N48">INDEX(_xlfn.TEXTSPLIT($C48,"/"),3)</f>
        <v>10_日次</v>
      </c>
      <c r="O48" s="16" t="str" cm="1">
        <f t="array" ref="O48">INDEX(_xlfn.TEXTSPLIT($C48,"/"),4)</f>
        <v>N3010_NAIS監視</v>
      </c>
      <c r="Q48" s="16" t="str" cm="1">
        <f t="array" ref="Q48">IF(ISERROR(INDEX(_xlfn.TEXTSPLIT($J48,"/"),2)),"該当なし",INDEX(_xlfn.TEXTSPLIT($J48,"/"),2))</f>
        <v>GFOOT</v>
      </c>
      <c r="R48" s="16" t="str" cm="1">
        <f t="array" ref="R48">IF(ISERROR(INDEX(_xlfn.TEXTSPLIT($J48,"/"),3)),"該当なし",INDEX(_xlfn.TEXTSPLIT($J48,"/"),3))</f>
        <v>10_日次</v>
      </c>
      <c r="S48" s="16" t="str" cm="1">
        <f t="array" ref="S48">IF(ISERROR(INDEX(_xlfn.TEXTSPLIT($J48,"/"),4)),"該当なし",INDEX(_xlfn.TEXTSPLIT($J48,"/"),4))</f>
        <v>10_DWH</v>
      </c>
    </row>
    <row r="49" spans="2:3" x14ac:dyDescent="0.55000000000000004">
      <c r="B49" s="14" t="s">
        <v>561</v>
      </c>
      <c r="C49" s="15">
        <v>46199.795717592591</v>
      </c>
    </row>
  </sheetData>
  <autoFilter ref="H2:K48" xr:uid="{C1C0BCB0-6273-4213-A5CB-069CB057FBFE}"/>
  <mergeCells count="1">
    <mergeCell ref="H1:J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切替方針</vt:lpstr>
      <vt:lpstr>動作確認の観点と切り戻し</vt:lpstr>
      <vt:lpstr>ジョブ一覧(概要)</vt:lpstr>
      <vt:lpstr>ジョブ一覧(詳細)</vt:lpstr>
      <vt:lpstr>(参考)イベントの繋がり</vt:lpstr>
      <vt:lpstr>(参考)イベント受信待ち</vt:lpstr>
      <vt:lpstr>(参考)イベント送信待ち</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中澤絵美</dc:creator>
  <cp:keywords/>
  <dc:description/>
  <cp:lastModifiedBy>岩田 益虎</cp:lastModifiedBy>
  <cp:revision/>
  <dcterms:created xsi:type="dcterms:W3CDTF">2026-06-26T09:54:05Z</dcterms:created>
  <dcterms:modified xsi:type="dcterms:W3CDTF">2026-07-02T05:03:14Z</dcterms:modified>
  <cp:category/>
  <cp:contentStatus/>
</cp:coreProperties>
</file>